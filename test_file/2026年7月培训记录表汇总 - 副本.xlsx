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675" windowHeight="9735"/>
  </bookViews>
  <sheets>
    <sheet name="202607" sheetId="6" r:id="rId1"/>
  </sheets>
  <calcPr calcId="144525"/>
</workbook>
</file>

<file path=xl/sharedStrings.xml><?xml version="1.0" encoding="utf-8"?>
<sst xmlns="http://schemas.openxmlformats.org/spreadsheetml/2006/main" count="775" uniqueCount="231">
  <si>
    <t>工号</t>
  </si>
  <si>
    <t>班组</t>
  </si>
  <si>
    <t>姓名</t>
  </si>
  <si>
    <t>培训总时长</t>
  </si>
  <si>
    <t>签出培训时长</t>
  </si>
  <si>
    <t>签出时间段</t>
  </si>
  <si>
    <t>KF77130204</t>
  </si>
  <si>
    <t>一班1组</t>
  </si>
  <si>
    <t>陈梓灿</t>
  </si>
  <si>
    <t>9:00-9:30</t>
  </si>
  <si>
    <t>17:30-18:00</t>
  </si>
  <si>
    <t>15:40-16:30
17:10-18:00</t>
  </si>
  <si>
    <t>17:30-18:30</t>
  </si>
  <si>
    <t>16:50-18:00</t>
  </si>
  <si>
    <t>KF77130176</t>
  </si>
  <si>
    <t>陈志富</t>
  </si>
  <si>
    <t>10:00-10:30</t>
  </si>
  <si>
    <t>KF77130180</t>
  </si>
  <si>
    <t>区文静</t>
  </si>
  <si>
    <t>KF77130173</t>
  </si>
  <si>
    <t>孔祥添</t>
  </si>
  <si>
    <t>KF77130244</t>
  </si>
  <si>
    <t>杨日升</t>
  </si>
  <si>
    <t>KF77130297</t>
  </si>
  <si>
    <t>韦艳玲</t>
  </si>
  <si>
    <t>KF77130293</t>
  </si>
  <si>
    <t>农琳</t>
  </si>
  <si>
    <t>KF77130289</t>
  </si>
  <si>
    <t>梁艳勋</t>
  </si>
  <si>
    <t>KF77130308</t>
  </si>
  <si>
    <t>李丽凤</t>
  </si>
  <si>
    <t>KF77130314</t>
  </si>
  <si>
    <t>农艳婷</t>
  </si>
  <si>
    <t>KF77130309</t>
  </si>
  <si>
    <t>林子焜</t>
  </si>
  <si>
    <t>KF77130374</t>
  </si>
  <si>
    <t>廖慧婷</t>
  </si>
  <si>
    <t>KF77130141</t>
  </si>
  <si>
    <t>一班2组</t>
  </si>
  <si>
    <t>李治鹏</t>
  </si>
  <si>
    <t>18:00-19:00</t>
  </si>
  <si>
    <t>13：30-14:00 18:30-19:00</t>
  </si>
  <si>
    <t>19:30-20:30</t>
  </si>
  <si>
    <t>15:50-17:00
17:30-18:30</t>
  </si>
  <si>
    <t>14:00-14:30</t>
  </si>
  <si>
    <t>10:20-11:10
20:40-21:00</t>
  </si>
  <si>
    <t>13:50-14:20</t>
  </si>
  <si>
    <t>11：00-11:30</t>
  </si>
  <si>
    <t>15:30-16:10
20:15-21:00</t>
  </si>
  <si>
    <t>KF77130187</t>
  </si>
  <si>
    <t>梁双正</t>
  </si>
  <si>
    <t>KF77130120</t>
  </si>
  <si>
    <t>卢国嶂</t>
  </si>
  <si>
    <t>18:30-19:00</t>
  </si>
  <si>
    <t>KF77130246</t>
  </si>
  <si>
    <t>甘海钰</t>
  </si>
  <si>
    <t>20:00-20:20</t>
  </si>
  <si>
    <t>19:30-21:00</t>
  </si>
  <si>
    <t>KF77130169</t>
  </si>
  <si>
    <t>彭明霖</t>
  </si>
  <si>
    <t>19:30-20:00</t>
  </si>
  <si>
    <t>KF77130247</t>
  </si>
  <si>
    <t>庞艺</t>
  </si>
  <si>
    <t>KF77130267</t>
  </si>
  <si>
    <t>吴海飞</t>
  </si>
  <si>
    <t>KF77130095</t>
  </si>
  <si>
    <t>韦晖</t>
  </si>
  <si>
    <t>KF77130313</t>
  </si>
  <si>
    <t>黄永玩</t>
  </si>
  <si>
    <t>KF77130328</t>
  </si>
  <si>
    <t>陆姿欣</t>
  </si>
  <si>
    <t>KF77130327</t>
  </si>
  <si>
    <t>罗芯芯</t>
  </si>
  <si>
    <t>KF77130337</t>
  </si>
  <si>
    <t>黄金玉</t>
  </si>
  <si>
    <t>KF77130324</t>
  </si>
  <si>
    <t>陆祖羿</t>
  </si>
  <si>
    <t>KF77130363</t>
  </si>
  <si>
    <t>吕小君</t>
  </si>
  <si>
    <t>KF77130101</t>
  </si>
  <si>
    <t>一班3组</t>
  </si>
  <si>
    <t>农诗琪</t>
  </si>
  <si>
    <t>14:00-15:00</t>
  </si>
  <si>
    <t>17:20-18:30</t>
  </si>
  <si>
    <t>15:30-16:40</t>
  </si>
  <si>
    <t>10:50-11:20</t>
  </si>
  <si>
    <t>KF77130201</t>
  </si>
  <si>
    <t>韦永先</t>
  </si>
  <si>
    <t>KF77130198</t>
  </si>
  <si>
    <t>黄凯</t>
  </si>
  <si>
    <t>KF77130202</t>
  </si>
  <si>
    <t>姚伟武</t>
  </si>
  <si>
    <t>KF77130236</t>
  </si>
  <si>
    <t>伍斯綺</t>
  </si>
  <si>
    <t>KF77130225</t>
  </si>
  <si>
    <t>李婷</t>
  </si>
  <si>
    <t>KF77130310</t>
  </si>
  <si>
    <t>唐佳良</t>
  </si>
  <si>
    <t>18:00-18：30</t>
  </si>
  <si>
    <t>KF77130320</t>
  </si>
  <si>
    <t>孟冀</t>
  </si>
  <si>
    <t>10:30-11:30</t>
  </si>
  <si>
    <t>KF77130368</t>
  </si>
  <si>
    <t>一班4组</t>
  </si>
  <si>
    <t>黄柳丝</t>
  </si>
  <si>
    <t>16:00-17:30</t>
  </si>
  <si>
    <t>10：00-11:00
15:30-16:30</t>
  </si>
  <si>
    <t>18:10-19:00</t>
  </si>
  <si>
    <t>KF77130370</t>
  </si>
  <si>
    <t>李峰</t>
  </si>
  <si>
    <t>KF77130369</t>
  </si>
  <si>
    <t>王鹤翔</t>
  </si>
  <si>
    <t>KF77130373</t>
  </si>
  <si>
    <t>韦翠敏</t>
  </si>
  <si>
    <t>KF77130378</t>
  </si>
  <si>
    <t>梁浩</t>
  </si>
  <si>
    <t>KF77130377</t>
  </si>
  <si>
    <t>梁劲聪</t>
  </si>
  <si>
    <t>KF77130229</t>
  </si>
  <si>
    <t>二班1组</t>
  </si>
  <si>
    <t>卢大伟</t>
  </si>
  <si>
    <t>10:00-10:50</t>
  </si>
  <si>
    <t>18:20-19:00</t>
  </si>
  <si>
    <t>10:00-11:30</t>
  </si>
  <si>
    <t>KF77130230</t>
  </si>
  <si>
    <t>杨晨浩</t>
  </si>
  <si>
    <t>KF77130129</t>
  </si>
  <si>
    <t>黎馥妍</t>
  </si>
  <si>
    <t>KF77130143</t>
  </si>
  <si>
    <t>莫韦尊</t>
  </si>
  <si>
    <t>KF77130146</t>
  </si>
  <si>
    <t>文永珍</t>
  </si>
  <si>
    <t>KF77130142</t>
  </si>
  <si>
    <t>陈艺峰</t>
  </si>
  <si>
    <t>KF77130316</t>
  </si>
  <si>
    <t>仇亮</t>
  </si>
  <si>
    <t>KF77130343</t>
  </si>
  <si>
    <t>夏思路</t>
  </si>
  <si>
    <t>KF77130342</t>
  </si>
  <si>
    <t>农静</t>
  </si>
  <si>
    <t>KF77130360</t>
  </si>
  <si>
    <t>秦国瀚</t>
  </si>
  <si>
    <t>KF77130359</t>
  </si>
  <si>
    <t>陈欣苗</t>
  </si>
  <si>
    <t>KF77130358</t>
  </si>
  <si>
    <t>王惠伟</t>
  </si>
  <si>
    <t>KF77130357</t>
  </si>
  <si>
    <t>韦建良</t>
  </si>
  <si>
    <t>KF77130371</t>
  </si>
  <si>
    <t>张文华</t>
  </si>
  <si>
    <t>KF77130379</t>
  </si>
  <si>
    <t>二班2组</t>
  </si>
  <si>
    <t>李梦灿</t>
  </si>
  <si>
    <t>16:15-17:00</t>
  </si>
  <si>
    <t>15:50-17:00</t>
  </si>
  <si>
    <t>KF77130216</t>
  </si>
  <si>
    <t>二班3组</t>
  </si>
  <si>
    <t>梁明哲</t>
  </si>
  <si>
    <t>15:30-16:30</t>
  </si>
  <si>
    <t>16:30-17:30</t>
  </si>
  <si>
    <t>KF77130192</t>
  </si>
  <si>
    <t>韦婷婷</t>
  </si>
  <si>
    <t>KF77130243</t>
  </si>
  <si>
    <t>卢蒙情</t>
  </si>
  <si>
    <t>15:45-17:00</t>
  </si>
  <si>
    <t>KF77130240</t>
  </si>
  <si>
    <t>覃家明</t>
  </si>
  <si>
    <t>KF77130252</t>
  </si>
  <si>
    <t>郑海坤</t>
  </si>
  <si>
    <t>KF77130250</t>
  </si>
  <si>
    <t>梁立乾</t>
  </si>
  <si>
    <t>KF77171520</t>
  </si>
  <si>
    <t>何灵</t>
  </si>
  <si>
    <t>KF77130341</t>
  </si>
  <si>
    <t>梁言</t>
  </si>
  <si>
    <t>KF77130339</t>
  </si>
  <si>
    <t>黄雪花</t>
  </si>
  <si>
    <t>KF77130338</t>
  </si>
  <si>
    <t>颜清</t>
  </si>
  <si>
    <t>KF77130362</t>
  </si>
  <si>
    <t>黄家鹏</t>
  </si>
  <si>
    <t>KF77130361</t>
  </si>
  <si>
    <t>罗宗豪</t>
  </si>
  <si>
    <t>KF77130383</t>
  </si>
  <si>
    <t>韦梦琪</t>
  </si>
  <si>
    <t>KF77130382</t>
  </si>
  <si>
    <t>张楚羚</t>
  </si>
  <si>
    <t>KF77130285</t>
  </si>
  <si>
    <t>秦建平</t>
  </si>
  <si>
    <t>KF77130284</t>
  </si>
  <si>
    <t>陈昌华</t>
  </si>
  <si>
    <t>KF77130346</t>
  </si>
  <si>
    <t>蒋旋</t>
  </si>
  <si>
    <t>KF77130356</t>
  </si>
  <si>
    <t>卢柳婷</t>
  </si>
  <si>
    <t>KF77130354</t>
  </si>
  <si>
    <t>陈栎至</t>
  </si>
  <si>
    <t>KF77130353</t>
  </si>
  <si>
    <t>吕迎运</t>
  </si>
  <si>
    <t>KF77130367</t>
  </si>
  <si>
    <t>李静茵</t>
  </si>
  <si>
    <t>17:00-17:30</t>
  </si>
  <si>
    <t>KF77130366</t>
  </si>
  <si>
    <t>雷志昆</t>
  </si>
  <si>
    <t>KF77130389</t>
  </si>
  <si>
    <t>李仁琪</t>
  </si>
  <si>
    <t>10:10-13:00</t>
  </si>
  <si>
    <t>15:00-17:00</t>
  </si>
  <si>
    <t>13:30-14:30</t>
  </si>
  <si>
    <t>KF77130387</t>
  </si>
  <si>
    <t>周思莹</t>
  </si>
  <si>
    <t>KF77130394</t>
  </si>
  <si>
    <t>黄崇耀</t>
  </si>
  <si>
    <t>9:00-9:30 16:00-17:30</t>
  </si>
  <si>
    <t>12:30-14：30</t>
  </si>
  <si>
    <t>KF77130393</t>
  </si>
  <si>
    <t>黄凤妮</t>
  </si>
  <si>
    <t>20:20-22:00</t>
  </si>
  <si>
    <t>KF77130392</t>
  </si>
  <si>
    <t>林美新</t>
  </si>
  <si>
    <t>KF77130391</t>
  </si>
  <si>
    <t>李云展</t>
  </si>
  <si>
    <t>10:20-11:10</t>
  </si>
  <si>
    <t>KF77130385</t>
  </si>
  <si>
    <t>韦志鹏</t>
  </si>
  <si>
    <t>KF77130183</t>
  </si>
  <si>
    <t>欧伟良</t>
  </si>
  <si>
    <t>KF77130224</t>
  </si>
  <si>
    <t>丘小柔</t>
  </si>
  <si>
    <t>KF77130396</t>
  </si>
  <si>
    <t>曾彩丹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</si>
</sst>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</numFmts>
  <fonts count="41">
    <font>
      <sz val="11"/>
      <color theme="1"/>
      <name val="宋体"/>
      <charset val="134"/>
      <scheme val="minor"/>
    </font>
    <font>
      <sz val="10"/>
      <name val="SimSun"/>
      <charset val="134"/>
    </font>
    <font>
      <sz val="9"/>
      <color theme="1"/>
      <name val="宋体"/>
      <charset val="134"/>
    </font>
    <font>
      <sz val="9"/>
      <name val="宋体"/>
      <charset val="134"/>
      <scheme val="minor"/>
    </font>
    <font>
      <b/>
      <sz val="9"/>
      <name val="宋体"/>
      <charset val="134"/>
    </font>
    <font>
      <b/>
      <sz val="9"/>
      <color theme="1"/>
      <name val="宋体"/>
      <charset val="134"/>
    </font>
    <font>
      <b/>
      <sz val="11"/>
      <color theme="1"/>
      <name val="宋体"/>
      <charset val="134"/>
    </font>
    <font>
      <b/>
      <sz val="9"/>
      <color rgb="FF000000"/>
      <name val="宋体"/>
      <charset val="134"/>
    </font>
    <font>
      <b/>
      <sz val="10"/>
      <color rgb="FF000000"/>
      <name val="Calibri"/>
      <charset val="134"/>
    </font>
    <font>
      <b/>
      <sz val="10"/>
      <name val="宋体"/>
      <charset val="134"/>
      <scheme val="minor"/>
    </font>
    <font>
      <b/>
      <sz val="10"/>
      <color rgb="FF000000"/>
      <name val="微软雅黑"/>
      <charset val="134"/>
    </font>
    <font>
      <b/>
      <sz val="11"/>
      <name val="宋体"/>
      <charset val="134"/>
    </font>
    <font>
      <sz val="9"/>
      <name val="宋体"/>
      <charset val="134"/>
    </font>
    <font>
      <b/>
      <sz val="9"/>
      <name val="宋体"/>
      <charset val="134"/>
      <scheme val="minor"/>
    </font>
    <font>
      <b/>
      <sz val="9"/>
      <name val="微软雅黑"/>
      <charset val="134"/>
    </font>
    <font>
      <sz val="10"/>
      <color theme="1"/>
      <name val="SimSun"/>
      <charset val="134"/>
    </font>
    <font>
      <sz val="9"/>
      <color theme="1"/>
      <name val="SimSun"/>
      <charset val="134"/>
    </font>
    <font>
      <sz val="9"/>
      <name val="SimSun"/>
      <charset val="134"/>
    </font>
    <font>
      <b/>
      <sz val="9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61EA36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9" fillId="21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9" borderId="17" applyNumberFormat="0" applyFont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40" fillId="36" borderId="21" applyNumberFormat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20" fontId="2" fillId="0" borderId="6" xfId="0" applyNumberFormat="1" applyFont="1" applyFill="1" applyBorder="1" applyAlignment="1">
      <alignment horizontal="center" vertical="center"/>
    </xf>
    <xf numFmtId="20" fontId="2" fillId="0" borderId="6" xfId="0" applyNumberFormat="1" applyFont="1" applyFill="1" applyBorder="1" applyAlignment="1">
      <alignment horizontal="center" vertical="center" wrapText="1"/>
    </xf>
    <xf numFmtId="20" fontId="2" fillId="0" borderId="8" xfId="0" applyNumberFormat="1" applyFont="1" applyFill="1" applyBorder="1" applyAlignment="1">
      <alignment horizontal="center" vertical="center"/>
    </xf>
    <xf numFmtId="20" fontId="2" fillId="0" borderId="8" xfId="0" applyNumberFormat="1" applyFont="1" applyFill="1" applyBorder="1" applyAlignment="1">
      <alignment horizontal="center" vertical="center" wrapText="1"/>
    </xf>
    <xf numFmtId="20" fontId="2" fillId="0" borderId="1" xfId="0" applyNumberFormat="1" applyFont="1" applyFill="1" applyBorder="1" applyAlignment="1">
      <alignment horizontal="center" vertical="center"/>
    </xf>
    <xf numFmtId="20" fontId="2" fillId="0" borderId="10" xfId="0" applyNumberFormat="1" applyFont="1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 wrapText="1"/>
    </xf>
    <xf numFmtId="20" fontId="2" fillId="0" borderId="2" xfId="0" applyNumberFormat="1" applyFont="1" applyFill="1" applyBorder="1" applyAlignment="1">
      <alignment horizontal="center" vertical="center"/>
    </xf>
    <xf numFmtId="20" fontId="2" fillId="0" borderId="10" xfId="0" applyNumberFormat="1" applyFont="1" applyFill="1" applyBorder="1" applyAlignment="1">
      <alignment horizontal="center" vertical="center" wrapText="1"/>
    </xf>
    <xf numFmtId="20" fontId="15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20" fontId="15" fillId="0" borderId="1" xfId="0" applyNumberFormat="1" applyFont="1" applyFill="1" applyBorder="1" applyAlignment="1">
      <alignment horizontal="center" vertical="center" wrapText="1"/>
    </xf>
    <xf numFmtId="20" fontId="2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/>
    </xf>
    <xf numFmtId="20" fontId="2" fillId="0" borderId="13" xfId="0" applyNumberFormat="1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0" fillId="0" borderId="0" xfId="0" applyFont="1" applyFill="1">
      <alignment vertical="center"/>
    </xf>
    <xf numFmtId="0" fontId="3" fillId="0" borderId="3" xfId="0" applyFont="1" applyBorder="1" applyAlignment="1">
      <alignment horizontal="center" vertical="center"/>
    </xf>
    <xf numFmtId="20" fontId="2" fillId="0" borderId="3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21" fillId="0" borderId="2" xfId="0" applyFont="1" applyBorder="1">
      <alignment vertical="center"/>
    </xf>
    <xf numFmtId="20" fontId="2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1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607"/>
  <dimension ref="A1:BL137"/>
  <sheetViews>
    <sheetView tabSelected="1" workbookViewId="0">
      <pane xSplit="4" ySplit="3" topLeftCell="E4" activePane="bottomRight" state="frozen"/>
      <selection/>
      <selection pane="topRight"/>
      <selection pane="bottomLeft"/>
      <selection pane="bottomRight" activeCell="E16" sqref="E16"/>
    </sheetView>
  </sheetViews>
  <sheetFormatPr defaultColWidth="14" defaultRowHeight="18" customHeight="1"/>
  <cols>
    <col min="1" max="2" width="14.75" style="7" customWidth="1"/>
    <col min="3" max="4" width="17" style="7" customWidth="1"/>
    <col min="5" max="17" width="11.625" style="7" customWidth="1"/>
    <col min="18" max="18" width="12.75" style="7" customWidth="1"/>
    <col min="19" max="19" width="11.625" style="7" customWidth="1"/>
    <col min="20" max="20" width="16.125" style="7" customWidth="1"/>
    <col min="21" max="21" width="11.25" style="7" customWidth="1"/>
    <col min="22" max="22" width="12.375" style="7" customWidth="1"/>
    <col min="23" max="23" width="11.5" style="8" customWidth="1"/>
    <col min="24" max="24" width="12.0166666666667" style="8" customWidth="1"/>
    <col min="25" max="25" width="11.5" style="8" customWidth="1"/>
    <col min="26" max="26" width="11.25" style="8" customWidth="1"/>
    <col min="27" max="27" width="11.125" style="8" customWidth="1"/>
    <col min="28" max="28" width="10.25" style="8" customWidth="1"/>
    <col min="29" max="29" width="11.125" style="8" customWidth="1"/>
    <col min="30" max="30" width="10.875" style="8" customWidth="1"/>
    <col min="31" max="31" width="11.25" style="8" customWidth="1"/>
    <col min="32" max="32" width="10.25" style="8" customWidth="1"/>
    <col min="33" max="33" width="11.75" style="8" customWidth="1"/>
    <col min="34" max="34" width="10.375" style="8" customWidth="1"/>
    <col min="35" max="35" width="9" style="8"/>
    <col min="36" max="36" width="9.93333333333333" style="8" customWidth="1"/>
    <col min="37" max="37" width="9" style="8"/>
    <col min="38" max="38" width="9.2" style="8" customWidth="1"/>
    <col min="39" max="39" width="9" style="8"/>
    <col min="40" max="40" width="9.81666666666667" style="8" customWidth="1"/>
    <col min="41" max="41" width="9" style="8"/>
    <col min="42" max="42" width="9.44166666666667" style="8" customWidth="1"/>
    <col min="43" max="43" width="9" style="8"/>
    <col min="44" max="44" width="9.56666666666667" style="8" customWidth="1"/>
    <col min="45" max="45" width="9" style="8"/>
    <col min="46" max="46" width="11.0416666666667" style="8" customWidth="1"/>
    <col min="47" max="47" width="13.6083333333333" style="8"/>
    <col min="48" max="48" width="18.0333333333333" style="8" customWidth="1"/>
    <col min="49" max="49" width="13.6083333333333" style="8"/>
    <col min="50" max="50" width="9.56666666666667" style="8" customWidth="1"/>
    <col min="51" max="64" width="13.6083333333333" style="8"/>
  </cols>
  <sheetData>
    <row r="1" ht="13.5" spans="1:64">
      <c r="A1" s="9" t="s">
        <v>0</v>
      </c>
      <c r="B1" s="10" t="s">
        <v>1</v>
      </c>
      <c r="C1" s="9" t="s">
        <v>2</v>
      </c>
      <c r="D1" s="9" t="s">
        <v>3</v>
      </c>
      <c r="E1" s="11">
        <v>20260701</v>
      </c>
      <c r="F1" s="12"/>
      <c r="G1" s="11">
        <v>20260702</v>
      </c>
      <c r="H1" s="12"/>
      <c r="I1" s="11">
        <v>20260703</v>
      </c>
      <c r="J1" s="12"/>
      <c r="K1" s="11">
        <v>20260704</v>
      </c>
      <c r="L1" s="12"/>
      <c r="M1" s="11">
        <v>20260705</v>
      </c>
      <c r="N1" s="12"/>
      <c r="O1" s="11">
        <v>20260706</v>
      </c>
      <c r="P1" s="12"/>
      <c r="Q1" s="11">
        <v>20260707</v>
      </c>
      <c r="R1" s="12"/>
      <c r="S1" s="11">
        <v>20260708</v>
      </c>
      <c r="T1" s="12"/>
      <c r="U1" s="11">
        <v>20260709</v>
      </c>
      <c r="V1" s="12"/>
      <c r="W1" s="11">
        <v>20260710</v>
      </c>
      <c r="X1" s="12"/>
      <c r="Y1" s="11">
        <v>20260711</v>
      </c>
      <c r="Z1" s="12"/>
      <c r="AA1" s="11">
        <v>20260712</v>
      </c>
      <c r="AB1" s="12"/>
      <c r="AC1" s="11">
        <v>20260713</v>
      </c>
      <c r="AD1" s="12"/>
      <c r="AE1" s="11">
        <v>20260714</v>
      </c>
      <c r="AF1" s="12"/>
      <c r="AG1" s="11">
        <v>20260715</v>
      </c>
      <c r="AH1" s="12"/>
      <c r="AI1" s="11">
        <v>20260716</v>
      </c>
      <c r="AJ1" s="12"/>
      <c r="AK1" s="11">
        <v>20260717</v>
      </c>
      <c r="AL1" s="12"/>
      <c r="AM1" s="11">
        <v>20260718</v>
      </c>
      <c r="AN1" s="12"/>
      <c r="AO1" s="11">
        <v>20260719</v>
      </c>
      <c r="AP1" s="12"/>
      <c r="AQ1" s="11">
        <v>20260720</v>
      </c>
      <c r="AR1" s="12"/>
      <c r="AS1" s="11">
        <v>20260721</v>
      </c>
      <c r="AT1" s="12"/>
      <c r="AU1" s="11">
        <v>20260722</v>
      </c>
      <c r="AV1" s="12"/>
      <c r="AW1" s="11">
        <v>20260723</v>
      </c>
      <c r="AX1" s="12"/>
      <c r="AY1" s="11">
        <v>20260724</v>
      </c>
      <c r="AZ1" s="12"/>
      <c r="BA1" s="11">
        <v>20260725</v>
      </c>
      <c r="BB1" s="12"/>
      <c r="BC1" s="11">
        <v>20260726</v>
      </c>
      <c r="BD1" s="12"/>
      <c r="BE1" s="11">
        <v>20260727</v>
      </c>
      <c r="BF1" s="12"/>
      <c r="BG1" s="11">
        <v>20260728</v>
      </c>
      <c r="BH1" s="12"/>
      <c r="BI1" s="11">
        <v>20260729</v>
      </c>
      <c r="BJ1" s="12"/>
      <c r="BK1" s="11">
        <v>20260730</v>
      </c>
      <c r="BL1" s="12"/>
    </row>
    <row r="2" ht="13.5" spans="1:64">
      <c r="A2" s="3"/>
      <c r="B2" s="10"/>
      <c r="C2" s="9"/>
      <c r="D2" s="9"/>
      <c r="E2" s="13" t="s">
        <v>4</v>
      </c>
      <c r="F2" s="13" t="s">
        <v>5</v>
      </c>
      <c r="G2" s="13" t="s">
        <v>4</v>
      </c>
      <c r="H2" s="13" t="s">
        <v>5</v>
      </c>
      <c r="I2" s="13" t="s">
        <v>4</v>
      </c>
      <c r="J2" s="13" t="s">
        <v>5</v>
      </c>
      <c r="K2" s="13" t="s">
        <v>4</v>
      </c>
      <c r="L2" s="13" t="s">
        <v>5</v>
      </c>
      <c r="M2" s="13" t="s">
        <v>4</v>
      </c>
      <c r="N2" s="13" t="s">
        <v>5</v>
      </c>
      <c r="O2" s="13" t="s">
        <v>4</v>
      </c>
      <c r="P2" s="13" t="s">
        <v>5</v>
      </c>
      <c r="Q2" s="13" t="s">
        <v>4</v>
      </c>
      <c r="R2" s="13" t="s">
        <v>5</v>
      </c>
      <c r="S2" s="13" t="s">
        <v>4</v>
      </c>
      <c r="T2" s="13" t="s">
        <v>5</v>
      </c>
      <c r="U2" s="13" t="s">
        <v>4</v>
      </c>
      <c r="V2" s="13" t="s">
        <v>5</v>
      </c>
      <c r="W2" s="13" t="s">
        <v>4</v>
      </c>
      <c r="X2" s="13" t="s">
        <v>5</v>
      </c>
      <c r="Y2" s="13" t="s">
        <v>4</v>
      </c>
      <c r="Z2" s="13" t="s">
        <v>5</v>
      </c>
      <c r="AA2" s="13" t="s">
        <v>4</v>
      </c>
      <c r="AB2" s="13" t="s">
        <v>5</v>
      </c>
      <c r="AC2" s="13" t="s">
        <v>4</v>
      </c>
      <c r="AD2" s="13" t="s">
        <v>5</v>
      </c>
      <c r="AE2" s="13" t="s">
        <v>4</v>
      </c>
      <c r="AF2" s="13" t="s">
        <v>5</v>
      </c>
      <c r="AG2" s="13" t="s">
        <v>4</v>
      </c>
      <c r="AH2" s="13" t="s">
        <v>5</v>
      </c>
      <c r="AI2" s="13" t="s">
        <v>4</v>
      </c>
      <c r="AJ2" s="13" t="s">
        <v>5</v>
      </c>
      <c r="AK2" s="13" t="s">
        <v>4</v>
      </c>
      <c r="AL2" s="13" t="s">
        <v>5</v>
      </c>
      <c r="AM2" s="13" t="s">
        <v>4</v>
      </c>
      <c r="AN2" s="13" t="s">
        <v>5</v>
      </c>
      <c r="AO2" s="13" t="s">
        <v>4</v>
      </c>
      <c r="AP2" s="13" t="s">
        <v>5</v>
      </c>
      <c r="AQ2" s="13" t="s">
        <v>4</v>
      </c>
      <c r="AR2" s="13" t="s">
        <v>5</v>
      </c>
      <c r="AS2" s="13" t="s">
        <v>4</v>
      </c>
      <c r="AT2" s="13" t="s">
        <v>5</v>
      </c>
      <c r="AU2" s="13" t="s">
        <v>4</v>
      </c>
      <c r="AV2" s="13" t="s">
        <v>5</v>
      </c>
      <c r="AW2" s="13" t="s">
        <v>4</v>
      </c>
      <c r="AX2" s="13" t="s">
        <v>5</v>
      </c>
      <c r="AY2" s="13" t="s">
        <v>4</v>
      </c>
      <c r="AZ2" s="13" t="s">
        <v>5</v>
      </c>
      <c r="BA2" s="13" t="s">
        <v>4</v>
      </c>
      <c r="BB2" s="13" t="s">
        <v>5</v>
      </c>
      <c r="BC2" s="13" t="s">
        <v>4</v>
      </c>
      <c r="BD2" s="13" t="s">
        <v>5</v>
      </c>
      <c r="BE2" s="13" t="s">
        <v>4</v>
      </c>
      <c r="BF2" s="13" t="s">
        <v>5</v>
      </c>
      <c r="BG2" s="13" t="s">
        <v>4</v>
      </c>
      <c r="BH2" s="13" t="s">
        <v>5</v>
      </c>
      <c r="BI2" s="13" t="s">
        <v>4</v>
      </c>
      <c r="BJ2" s="13" t="s">
        <v>5</v>
      </c>
      <c r="BK2" s="13" t="s">
        <v>4</v>
      </c>
      <c r="BL2" s="13" t="s">
        <v>5</v>
      </c>
    </row>
    <row r="3" ht="13.5" spans="1:64">
      <c r="A3" s="3"/>
      <c r="B3" s="10"/>
      <c r="C3" s="9"/>
      <c r="D3" s="9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</row>
    <row r="4" ht="22.5" spans="1:64">
      <c r="A4" s="15" t="s">
        <v>6</v>
      </c>
      <c r="B4" s="16" t="s">
        <v>7</v>
      </c>
      <c r="C4" s="17" t="s">
        <v>8</v>
      </c>
      <c r="D4" s="18">
        <f t="shared" ref="D4:D67" si="0">E4+G4+I4+K4+M4+O4+Q4+S4+U4+W4+Y4+AA4+AC4+AE4+AG4+AI4+AK4+AM4+AO4+AQ4+AS4+AU4+AW4+AY4+BA4+BC4+BE4+BG4+BI4+BK4</f>
        <v>4.86</v>
      </c>
      <c r="E4" s="19"/>
      <c r="F4" s="19"/>
      <c r="G4" s="19"/>
      <c r="H4" s="19"/>
      <c r="I4" s="19"/>
      <c r="J4" s="19"/>
      <c r="K4" s="19"/>
      <c r="L4" s="46"/>
      <c r="M4" s="19">
        <v>0.5</v>
      </c>
      <c r="N4" s="19" t="s">
        <v>9</v>
      </c>
      <c r="O4" s="19"/>
      <c r="P4" s="19"/>
      <c r="Q4" s="19">
        <v>0.5</v>
      </c>
      <c r="R4" s="19" t="s">
        <v>10</v>
      </c>
      <c r="S4" s="19"/>
      <c r="T4" s="66"/>
      <c r="U4" s="19"/>
      <c r="V4" s="67"/>
      <c r="W4" s="19"/>
      <c r="X4" s="67"/>
      <c r="Y4" s="19"/>
      <c r="Z4" s="67"/>
      <c r="AA4" s="19">
        <f t="shared" ref="AA4:AA15" si="1">0.83*2</f>
        <v>1.66</v>
      </c>
      <c r="AB4" s="67" t="s">
        <v>11</v>
      </c>
      <c r="AC4" s="19"/>
      <c r="AD4" s="67"/>
      <c r="AE4" s="19"/>
      <c r="AF4" s="66"/>
      <c r="AG4" s="19"/>
      <c r="AH4" s="66"/>
      <c r="AI4" s="19"/>
      <c r="AJ4" s="66"/>
      <c r="AK4" s="19"/>
      <c r="AL4" s="66"/>
      <c r="AM4" s="19">
        <v>1</v>
      </c>
      <c r="AN4" s="66" t="s">
        <v>12</v>
      </c>
      <c r="AO4" s="19">
        <v>1.2</v>
      </c>
      <c r="AP4" s="66" t="s">
        <v>13</v>
      </c>
      <c r="AQ4" s="19"/>
      <c r="AR4" s="67"/>
      <c r="AS4" s="19"/>
      <c r="AT4" s="66"/>
      <c r="AU4" s="19"/>
      <c r="AV4" s="66"/>
      <c r="AW4" s="19"/>
      <c r="AX4" s="67"/>
      <c r="AY4" s="19"/>
      <c r="AZ4" s="66"/>
      <c r="BA4" s="4"/>
      <c r="BB4" s="84"/>
      <c r="BC4" s="19"/>
      <c r="BD4" s="66"/>
      <c r="BE4" s="19"/>
      <c r="BF4" s="66"/>
      <c r="BG4" s="19"/>
      <c r="BH4" s="66"/>
      <c r="BI4" s="19"/>
      <c r="BJ4" s="66"/>
      <c r="BK4" s="19"/>
      <c r="BL4" s="66"/>
    </row>
    <row r="5" ht="22.5" spans="1:64">
      <c r="A5" s="15" t="s">
        <v>14</v>
      </c>
      <c r="B5" s="20" t="s">
        <v>7</v>
      </c>
      <c r="C5" s="21" t="s">
        <v>15</v>
      </c>
      <c r="D5" s="18">
        <f t="shared" si="0"/>
        <v>5.36</v>
      </c>
      <c r="E5" s="22"/>
      <c r="F5" s="22"/>
      <c r="G5" s="22"/>
      <c r="H5" s="22"/>
      <c r="I5" s="22"/>
      <c r="J5" s="22"/>
      <c r="K5" s="22"/>
      <c r="L5" s="36"/>
      <c r="M5" s="19">
        <v>0.5</v>
      </c>
      <c r="N5" s="19" t="s">
        <v>9</v>
      </c>
      <c r="O5" s="22"/>
      <c r="P5" s="22"/>
      <c r="Q5" s="19">
        <v>0.5</v>
      </c>
      <c r="R5" s="19" t="s">
        <v>10</v>
      </c>
      <c r="S5" s="22"/>
      <c r="T5" s="68"/>
      <c r="U5" s="22"/>
      <c r="V5" s="69"/>
      <c r="W5" s="22"/>
      <c r="X5" s="69"/>
      <c r="Y5" s="22"/>
      <c r="Z5" s="69"/>
      <c r="AA5" s="19">
        <f t="shared" si="1"/>
        <v>1.66</v>
      </c>
      <c r="AB5" s="67" t="s">
        <v>11</v>
      </c>
      <c r="AC5" s="19"/>
      <c r="AD5" s="67"/>
      <c r="AE5" s="22"/>
      <c r="AF5" s="68"/>
      <c r="AG5" s="22"/>
      <c r="AH5" s="68"/>
      <c r="AI5" s="22"/>
      <c r="AJ5" s="68"/>
      <c r="AK5" s="22"/>
      <c r="AL5" s="68"/>
      <c r="AM5" s="19">
        <v>1</v>
      </c>
      <c r="AN5" s="66" t="s">
        <v>12</v>
      </c>
      <c r="AO5" s="19">
        <v>1.2</v>
      </c>
      <c r="AP5" s="66" t="s">
        <v>13</v>
      </c>
      <c r="AQ5" s="19"/>
      <c r="AR5" s="67"/>
      <c r="AS5" s="19"/>
      <c r="AT5" s="66"/>
      <c r="AU5" s="19"/>
      <c r="AV5" s="66"/>
      <c r="AW5" s="22"/>
      <c r="AX5" s="69"/>
      <c r="AY5" s="22">
        <v>0.5</v>
      </c>
      <c r="AZ5" s="66" t="s">
        <v>16</v>
      </c>
      <c r="BA5" s="4"/>
      <c r="BB5" s="84"/>
      <c r="BC5" s="22"/>
      <c r="BD5" s="68"/>
      <c r="BE5" s="19"/>
      <c r="BF5" s="66"/>
      <c r="BG5" s="22"/>
      <c r="BH5" s="68"/>
      <c r="BI5" s="22"/>
      <c r="BJ5" s="68"/>
      <c r="BK5" s="22"/>
      <c r="BL5" s="68"/>
    </row>
    <row r="6" ht="22.5" spans="1:64">
      <c r="A6" s="15" t="s">
        <v>17</v>
      </c>
      <c r="B6" s="20" t="s">
        <v>7</v>
      </c>
      <c r="C6" s="21" t="s">
        <v>18</v>
      </c>
      <c r="D6" s="18">
        <f t="shared" si="0"/>
        <v>5.36</v>
      </c>
      <c r="E6" s="22"/>
      <c r="F6" s="22"/>
      <c r="G6" s="22"/>
      <c r="H6" s="22"/>
      <c r="I6" s="22"/>
      <c r="J6" s="22"/>
      <c r="K6" s="22"/>
      <c r="L6" s="36"/>
      <c r="M6" s="19">
        <v>0.5</v>
      </c>
      <c r="N6" s="19" t="s">
        <v>9</v>
      </c>
      <c r="O6" s="22"/>
      <c r="P6" s="22"/>
      <c r="Q6" s="19">
        <v>0.5</v>
      </c>
      <c r="R6" s="19" t="s">
        <v>10</v>
      </c>
      <c r="S6" s="22"/>
      <c r="T6" s="68"/>
      <c r="U6" s="22"/>
      <c r="V6" s="69"/>
      <c r="W6" s="22"/>
      <c r="X6" s="69"/>
      <c r="Y6" s="22"/>
      <c r="Z6" s="69"/>
      <c r="AA6" s="19">
        <f t="shared" si="1"/>
        <v>1.66</v>
      </c>
      <c r="AB6" s="67" t="s">
        <v>11</v>
      </c>
      <c r="AC6" s="19"/>
      <c r="AD6" s="67"/>
      <c r="AE6" s="22"/>
      <c r="AF6" s="76"/>
      <c r="AG6" s="22"/>
      <c r="AH6" s="68"/>
      <c r="AI6" s="22"/>
      <c r="AJ6" s="22"/>
      <c r="AK6" s="22"/>
      <c r="AL6" s="68"/>
      <c r="AM6" s="19">
        <v>1</v>
      </c>
      <c r="AN6" s="66" t="s">
        <v>12</v>
      </c>
      <c r="AO6" s="19">
        <v>1.2</v>
      </c>
      <c r="AP6" s="66" t="s">
        <v>13</v>
      </c>
      <c r="AQ6" s="19"/>
      <c r="AR6" s="67"/>
      <c r="AS6" s="19"/>
      <c r="AT6" s="66"/>
      <c r="AU6" s="19"/>
      <c r="AV6" s="66"/>
      <c r="AW6" s="22"/>
      <c r="AX6" s="69"/>
      <c r="AY6" s="22">
        <v>0.5</v>
      </c>
      <c r="AZ6" s="66" t="s">
        <v>16</v>
      </c>
      <c r="BA6" s="4"/>
      <c r="BB6" s="84"/>
      <c r="BC6" s="22"/>
      <c r="BD6" s="68"/>
      <c r="BE6" s="19"/>
      <c r="BF6" s="66"/>
      <c r="BG6" s="22"/>
      <c r="BH6" s="68"/>
      <c r="BI6" s="22"/>
      <c r="BJ6" s="68"/>
      <c r="BK6" s="22"/>
      <c r="BL6" s="68"/>
    </row>
    <row r="7" ht="22.5" spans="1:64">
      <c r="A7" s="15" t="s">
        <v>19</v>
      </c>
      <c r="B7" s="20" t="s">
        <v>7</v>
      </c>
      <c r="C7" s="21" t="s">
        <v>20</v>
      </c>
      <c r="D7" s="18">
        <f t="shared" si="0"/>
        <v>5.36</v>
      </c>
      <c r="E7" s="22"/>
      <c r="F7" s="22"/>
      <c r="G7" s="22"/>
      <c r="H7" s="22"/>
      <c r="I7" s="22"/>
      <c r="J7" s="22"/>
      <c r="K7" s="22"/>
      <c r="L7" s="36"/>
      <c r="M7" s="19">
        <v>0.5</v>
      </c>
      <c r="N7" s="19" t="s">
        <v>9</v>
      </c>
      <c r="O7" s="22"/>
      <c r="P7" s="22"/>
      <c r="Q7" s="19">
        <v>0.5</v>
      </c>
      <c r="R7" s="19" t="s">
        <v>10</v>
      </c>
      <c r="S7" s="22"/>
      <c r="T7" s="68"/>
      <c r="U7" s="22"/>
      <c r="V7" s="69"/>
      <c r="W7" s="22"/>
      <c r="X7" s="69"/>
      <c r="Y7" s="22"/>
      <c r="Z7" s="69"/>
      <c r="AA7" s="19">
        <f t="shared" si="1"/>
        <v>1.66</v>
      </c>
      <c r="AB7" s="67" t="s">
        <v>11</v>
      </c>
      <c r="AC7" s="19"/>
      <c r="AD7" s="67"/>
      <c r="AE7" s="22"/>
      <c r="AF7" s="68"/>
      <c r="AG7" s="22"/>
      <c r="AH7" s="68"/>
      <c r="AI7" s="22"/>
      <c r="AJ7" s="68"/>
      <c r="AK7" s="22"/>
      <c r="AL7" s="68"/>
      <c r="AM7" s="19">
        <v>1</v>
      </c>
      <c r="AN7" s="66" t="s">
        <v>12</v>
      </c>
      <c r="AO7" s="19">
        <v>1.2</v>
      </c>
      <c r="AP7" s="66" t="s">
        <v>13</v>
      </c>
      <c r="AQ7" s="19"/>
      <c r="AR7" s="67"/>
      <c r="AS7" s="19"/>
      <c r="AT7" s="66"/>
      <c r="AU7" s="19"/>
      <c r="AV7" s="66"/>
      <c r="AW7" s="22"/>
      <c r="AX7" s="69"/>
      <c r="AY7" s="22">
        <v>0.5</v>
      </c>
      <c r="AZ7" s="66" t="s">
        <v>16</v>
      </c>
      <c r="BA7" s="4"/>
      <c r="BB7" s="84"/>
      <c r="BC7" s="22"/>
      <c r="BD7" s="68"/>
      <c r="BE7" s="19"/>
      <c r="BF7" s="66"/>
      <c r="BG7" s="22"/>
      <c r="BH7" s="68"/>
      <c r="BI7" s="22"/>
      <c r="BJ7" s="68"/>
      <c r="BK7" s="22"/>
      <c r="BL7" s="68"/>
    </row>
    <row r="8" ht="22.5" spans="1:64">
      <c r="A8" s="15" t="s">
        <v>21</v>
      </c>
      <c r="B8" s="20" t="s">
        <v>7</v>
      </c>
      <c r="C8" s="21" t="s">
        <v>22</v>
      </c>
      <c r="D8" s="18">
        <f t="shared" si="0"/>
        <v>5.36</v>
      </c>
      <c r="E8" s="22"/>
      <c r="F8" s="22"/>
      <c r="G8" s="22"/>
      <c r="H8" s="22"/>
      <c r="I8" s="22"/>
      <c r="J8" s="22"/>
      <c r="K8" s="22"/>
      <c r="L8" s="36"/>
      <c r="M8" s="19">
        <v>0.5</v>
      </c>
      <c r="N8" s="19" t="s">
        <v>9</v>
      </c>
      <c r="O8" s="22"/>
      <c r="P8" s="22"/>
      <c r="Q8" s="19">
        <v>0.5</v>
      </c>
      <c r="R8" s="19" t="s">
        <v>10</v>
      </c>
      <c r="S8" s="22"/>
      <c r="T8" s="68"/>
      <c r="U8" s="22"/>
      <c r="V8" s="69"/>
      <c r="W8" s="22"/>
      <c r="X8" s="69"/>
      <c r="Y8" s="22"/>
      <c r="Z8" s="69"/>
      <c r="AA8" s="19">
        <f t="shared" si="1"/>
        <v>1.66</v>
      </c>
      <c r="AB8" s="67" t="s">
        <v>11</v>
      </c>
      <c r="AC8" s="19"/>
      <c r="AD8" s="67"/>
      <c r="AE8" s="22"/>
      <c r="AF8" s="68"/>
      <c r="AG8" s="22"/>
      <c r="AH8" s="68"/>
      <c r="AI8" s="22"/>
      <c r="AJ8" s="68"/>
      <c r="AK8" s="22"/>
      <c r="AL8" s="69"/>
      <c r="AM8" s="19">
        <v>1</v>
      </c>
      <c r="AN8" s="66" t="s">
        <v>12</v>
      </c>
      <c r="AO8" s="19">
        <v>1.2</v>
      </c>
      <c r="AP8" s="66" t="s">
        <v>13</v>
      </c>
      <c r="AQ8" s="19"/>
      <c r="AR8" s="67"/>
      <c r="AS8" s="19"/>
      <c r="AT8" s="66"/>
      <c r="AU8" s="19"/>
      <c r="AV8" s="66"/>
      <c r="AW8" s="22"/>
      <c r="AX8" s="69"/>
      <c r="AY8" s="22">
        <v>0.5</v>
      </c>
      <c r="AZ8" s="66" t="s">
        <v>16</v>
      </c>
      <c r="BA8" s="4"/>
      <c r="BB8" s="84"/>
      <c r="BC8" s="22"/>
      <c r="BD8" s="68"/>
      <c r="BE8" s="19"/>
      <c r="BF8" s="66"/>
      <c r="BG8" s="22"/>
      <c r="BH8" s="68"/>
      <c r="BI8" s="22"/>
      <c r="BJ8" s="68"/>
      <c r="BK8" s="22"/>
      <c r="BL8" s="68"/>
    </row>
    <row r="9" ht="22.5" spans="1:64">
      <c r="A9" s="15" t="s">
        <v>23</v>
      </c>
      <c r="B9" s="20" t="s">
        <v>7</v>
      </c>
      <c r="C9" s="21" t="s">
        <v>24</v>
      </c>
      <c r="D9" s="18">
        <f t="shared" si="0"/>
        <v>3.66</v>
      </c>
      <c r="E9" s="22"/>
      <c r="F9" s="22"/>
      <c r="G9" s="22"/>
      <c r="H9" s="22"/>
      <c r="I9" s="22"/>
      <c r="J9" s="22"/>
      <c r="K9" s="22"/>
      <c r="L9" s="36"/>
      <c r="M9" s="22"/>
      <c r="N9" s="22"/>
      <c r="O9" s="22"/>
      <c r="P9" s="22"/>
      <c r="Q9" s="19">
        <v>0.5</v>
      </c>
      <c r="R9" s="19" t="s">
        <v>10</v>
      </c>
      <c r="S9" s="22"/>
      <c r="T9" s="68"/>
      <c r="U9" s="22"/>
      <c r="V9" s="69"/>
      <c r="W9" s="22"/>
      <c r="X9" s="69"/>
      <c r="Y9" s="22"/>
      <c r="Z9" s="69"/>
      <c r="AA9" s="19">
        <f t="shared" si="1"/>
        <v>1.66</v>
      </c>
      <c r="AB9" s="67" t="s">
        <v>11</v>
      </c>
      <c r="AC9" s="19"/>
      <c r="AD9" s="67"/>
      <c r="AE9" s="22"/>
      <c r="AF9" s="68"/>
      <c r="AG9" s="22"/>
      <c r="AH9" s="68"/>
      <c r="AI9" s="22"/>
      <c r="AJ9" s="68"/>
      <c r="AK9" s="22"/>
      <c r="AL9" s="68"/>
      <c r="AM9" s="19">
        <v>1</v>
      </c>
      <c r="AN9" s="66" t="s">
        <v>12</v>
      </c>
      <c r="AO9" s="22"/>
      <c r="AP9" s="68"/>
      <c r="AQ9" s="19"/>
      <c r="AR9" s="67"/>
      <c r="AS9" s="19"/>
      <c r="AT9" s="66"/>
      <c r="AU9" s="19"/>
      <c r="AV9" s="66"/>
      <c r="AW9" s="22"/>
      <c r="AX9" s="69"/>
      <c r="AY9" s="22">
        <v>0.5</v>
      </c>
      <c r="AZ9" s="66" t="s">
        <v>16</v>
      </c>
      <c r="BA9" s="4"/>
      <c r="BB9" s="84"/>
      <c r="BC9" s="22"/>
      <c r="BD9" s="68"/>
      <c r="BE9" s="19"/>
      <c r="BF9" s="66"/>
      <c r="BG9" s="22"/>
      <c r="BH9" s="68"/>
      <c r="BI9" s="22"/>
      <c r="BJ9" s="68"/>
      <c r="BK9" s="22"/>
      <c r="BL9" s="68"/>
    </row>
    <row r="10" ht="22.5" spans="1:64">
      <c r="A10" s="15" t="s">
        <v>25</v>
      </c>
      <c r="B10" s="20" t="s">
        <v>7</v>
      </c>
      <c r="C10" s="21" t="s">
        <v>26</v>
      </c>
      <c r="D10" s="18">
        <f t="shared" si="0"/>
        <v>5.36</v>
      </c>
      <c r="E10" s="22"/>
      <c r="F10" s="22"/>
      <c r="G10" s="22"/>
      <c r="H10" s="22"/>
      <c r="I10" s="22"/>
      <c r="J10" s="22"/>
      <c r="K10" s="22"/>
      <c r="L10" s="36"/>
      <c r="M10" s="19">
        <v>0.5</v>
      </c>
      <c r="N10" s="19" t="s">
        <v>9</v>
      </c>
      <c r="O10" s="22"/>
      <c r="P10" s="22"/>
      <c r="Q10" s="19">
        <v>0.5</v>
      </c>
      <c r="R10" s="19" t="s">
        <v>10</v>
      </c>
      <c r="S10" s="22"/>
      <c r="T10" s="68"/>
      <c r="U10" s="22"/>
      <c r="V10" s="69"/>
      <c r="W10" s="22"/>
      <c r="X10" s="69"/>
      <c r="Y10" s="22"/>
      <c r="Z10" s="69"/>
      <c r="AA10" s="19">
        <f t="shared" si="1"/>
        <v>1.66</v>
      </c>
      <c r="AB10" s="67" t="s">
        <v>11</v>
      </c>
      <c r="AC10" s="19"/>
      <c r="AD10" s="67"/>
      <c r="AE10" s="22"/>
      <c r="AF10" s="68"/>
      <c r="AG10" s="22"/>
      <c r="AH10" s="68"/>
      <c r="AI10" s="22"/>
      <c r="AJ10" s="68"/>
      <c r="AK10" s="22"/>
      <c r="AL10" s="68"/>
      <c r="AM10" s="19">
        <v>1</v>
      </c>
      <c r="AN10" s="66" t="s">
        <v>12</v>
      </c>
      <c r="AO10" s="19">
        <v>1.2</v>
      </c>
      <c r="AP10" s="66" t="s">
        <v>13</v>
      </c>
      <c r="AQ10" s="19"/>
      <c r="AR10" s="67"/>
      <c r="AS10" s="19"/>
      <c r="AT10" s="66"/>
      <c r="AU10" s="19"/>
      <c r="AV10" s="66"/>
      <c r="AW10" s="22"/>
      <c r="AX10" s="69"/>
      <c r="AY10" s="22">
        <v>0.5</v>
      </c>
      <c r="AZ10" s="66" t="s">
        <v>16</v>
      </c>
      <c r="BA10" s="4"/>
      <c r="BB10" s="84"/>
      <c r="BC10" s="22"/>
      <c r="BD10" s="68"/>
      <c r="BE10" s="19"/>
      <c r="BF10" s="66"/>
      <c r="BG10" s="22"/>
      <c r="BH10" s="68"/>
      <c r="BI10" s="22"/>
      <c r="BJ10" s="68"/>
      <c r="BK10" s="22"/>
      <c r="BL10" s="68"/>
    </row>
    <row r="11" ht="22.5" spans="1:64">
      <c r="A11" s="15" t="s">
        <v>27</v>
      </c>
      <c r="B11" s="20" t="s">
        <v>7</v>
      </c>
      <c r="C11" s="21" t="s">
        <v>28</v>
      </c>
      <c r="D11" s="18">
        <f t="shared" si="0"/>
        <v>5.36</v>
      </c>
      <c r="E11" s="22"/>
      <c r="F11" s="22"/>
      <c r="G11" s="22"/>
      <c r="H11" s="22"/>
      <c r="I11" s="22"/>
      <c r="J11" s="22"/>
      <c r="K11" s="22"/>
      <c r="L11" s="36"/>
      <c r="M11" s="19">
        <v>0.5</v>
      </c>
      <c r="N11" s="19" t="s">
        <v>9</v>
      </c>
      <c r="O11" s="22"/>
      <c r="P11" s="22"/>
      <c r="Q11" s="19">
        <v>0.5</v>
      </c>
      <c r="R11" s="19" t="s">
        <v>10</v>
      </c>
      <c r="S11" s="22"/>
      <c r="T11" s="68"/>
      <c r="U11" s="22"/>
      <c r="V11" s="69"/>
      <c r="W11" s="22"/>
      <c r="X11" s="69"/>
      <c r="Y11" s="22"/>
      <c r="Z11" s="69"/>
      <c r="AA11" s="19">
        <f t="shared" si="1"/>
        <v>1.66</v>
      </c>
      <c r="AB11" s="67" t="s">
        <v>11</v>
      </c>
      <c r="AC11" s="19"/>
      <c r="AD11" s="67"/>
      <c r="AE11" s="22"/>
      <c r="AF11" s="68"/>
      <c r="AG11" s="22"/>
      <c r="AH11" s="68"/>
      <c r="AI11" s="22"/>
      <c r="AJ11" s="68"/>
      <c r="AK11" s="22"/>
      <c r="AL11" s="68"/>
      <c r="AM11" s="19">
        <v>1</v>
      </c>
      <c r="AN11" s="66" t="s">
        <v>12</v>
      </c>
      <c r="AO11" s="19">
        <v>1.2</v>
      </c>
      <c r="AP11" s="66" t="s">
        <v>13</v>
      </c>
      <c r="AQ11" s="19"/>
      <c r="AR11" s="67"/>
      <c r="AS11" s="19"/>
      <c r="AT11" s="66"/>
      <c r="AU11" s="19"/>
      <c r="AV11" s="66"/>
      <c r="AW11" s="22"/>
      <c r="AX11" s="69"/>
      <c r="AY11" s="22">
        <v>0.5</v>
      </c>
      <c r="AZ11" s="66" t="s">
        <v>16</v>
      </c>
      <c r="BA11" s="4"/>
      <c r="BB11" s="84"/>
      <c r="BC11" s="22"/>
      <c r="BD11" s="68"/>
      <c r="BE11" s="19"/>
      <c r="BF11" s="66"/>
      <c r="BG11" s="22"/>
      <c r="BH11" s="68"/>
      <c r="BI11" s="22"/>
      <c r="BJ11" s="68"/>
      <c r="BK11" s="22"/>
      <c r="BL11" s="68"/>
    </row>
    <row r="12" ht="22.5" spans="1:64">
      <c r="A12" s="23" t="s">
        <v>29</v>
      </c>
      <c r="B12" s="24" t="s">
        <v>7</v>
      </c>
      <c r="C12" s="23" t="s">
        <v>30</v>
      </c>
      <c r="D12" s="18">
        <f t="shared" si="0"/>
        <v>4.86</v>
      </c>
      <c r="E12" s="22"/>
      <c r="F12" s="22"/>
      <c r="G12" s="22"/>
      <c r="H12" s="22"/>
      <c r="I12" s="22"/>
      <c r="J12" s="22"/>
      <c r="K12" s="22"/>
      <c r="L12" s="36"/>
      <c r="M12" s="22"/>
      <c r="N12" s="22"/>
      <c r="O12" s="22"/>
      <c r="P12" s="22"/>
      <c r="Q12" s="19">
        <v>0.5</v>
      </c>
      <c r="R12" s="19" t="s">
        <v>10</v>
      </c>
      <c r="S12" s="22"/>
      <c r="T12" s="36"/>
      <c r="U12" s="22"/>
      <c r="V12" s="69"/>
      <c r="W12" s="22"/>
      <c r="X12" s="69"/>
      <c r="Y12" s="22"/>
      <c r="Z12" s="69"/>
      <c r="AA12" s="19">
        <f t="shared" si="1"/>
        <v>1.66</v>
      </c>
      <c r="AB12" s="67" t="s">
        <v>11</v>
      </c>
      <c r="AC12" s="19"/>
      <c r="AD12" s="67"/>
      <c r="AE12" s="22"/>
      <c r="AF12" s="68"/>
      <c r="AG12" s="22"/>
      <c r="AH12" s="68"/>
      <c r="AI12" s="22"/>
      <c r="AJ12" s="69"/>
      <c r="AK12" s="22"/>
      <c r="AL12" s="69"/>
      <c r="AM12" s="19">
        <v>1</v>
      </c>
      <c r="AN12" s="66" t="s">
        <v>12</v>
      </c>
      <c r="AO12" s="19">
        <v>1.2</v>
      </c>
      <c r="AP12" s="66" t="s">
        <v>13</v>
      </c>
      <c r="AQ12" s="19"/>
      <c r="AR12" s="67"/>
      <c r="AS12" s="19"/>
      <c r="AT12" s="66"/>
      <c r="AU12" s="19"/>
      <c r="AV12" s="66"/>
      <c r="AW12" s="22"/>
      <c r="AX12" s="68"/>
      <c r="AY12" s="22">
        <v>0.5</v>
      </c>
      <c r="AZ12" s="66" t="s">
        <v>16</v>
      </c>
      <c r="BA12" s="4"/>
      <c r="BB12" s="84"/>
      <c r="BC12" s="22"/>
      <c r="BD12" s="68"/>
      <c r="BE12" s="19"/>
      <c r="BF12" s="66"/>
      <c r="BG12" s="22"/>
      <c r="BH12" s="68"/>
      <c r="BI12" s="22"/>
      <c r="BJ12" s="68"/>
      <c r="BK12" s="22"/>
      <c r="BL12" s="68"/>
    </row>
    <row r="13" ht="22.5" spans="1:64">
      <c r="A13" s="23" t="s">
        <v>31</v>
      </c>
      <c r="B13" s="24" t="s">
        <v>7</v>
      </c>
      <c r="C13" s="23" t="s">
        <v>32</v>
      </c>
      <c r="D13" s="18">
        <f t="shared" si="0"/>
        <v>5.36</v>
      </c>
      <c r="E13" s="22"/>
      <c r="F13" s="22"/>
      <c r="G13" s="22"/>
      <c r="H13" s="22"/>
      <c r="I13" s="22"/>
      <c r="J13" s="22"/>
      <c r="K13" s="22"/>
      <c r="L13" s="36"/>
      <c r="M13" s="19">
        <v>0.5</v>
      </c>
      <c r="N13" s="19" t="s">
        <v>9</v>
      </c>
      <c r="O13" s="22"/>
      <c r="P13" s="22"/>
      <c r="Q13" s="19">
        <v>0.5</v>
      </c>
      <c r="R13" s="19" t="s">
        <v>10</v>
      </c>
      <c r="S13" s="22"/>
      <c r="T13" s="22"/>
      <c r="U13" s="22"/>
      <c r="V13" s="69"/>
      <c r="W13" s="22"/>
      <c r="X13" s="69"/>
      <c r="Y13" s="22"/>
      <c r="Z13" s="69"/>
      <c r="AA13" s="19">
        <f t="shared" si="1"/>
        <v>1.66</v>
      </c>
      <c r="AB13" s="67" t="s">
        <v>11</v>
      </c>
      <c r="AC13" s="19"/>
      <c r="AD13" s="67"/>
      <c r="AE13" s="22"/>
      <c r="AF13" s="68"/>
      <c r="AG13" s="22"/>
      <c r="AH13" s="68"/>
      <c r="AI13" s="22"/>
      <c r="AJ13" s="69"/>
      <c r="AK13" s="22"/>
      <c r="AL13" s="69"/>
      <c r="AM13" s="19">
        <v>1</v>
      </c>
      <c r="AN13" s="66" t="s">
        <v>12</v>
      </c>
      <c r="AO13" s="19">
        <v>1.2</v>
      </c>
      <c r="AP13" s="66" t="s">
        <v>13</v>
      </c>
      <c r="AQ13" s="19"/>
      <c r="AR13" s="67"/>
      <c r="AS13" s="19"/>
      <c r="AT13" s="66"/>
      <c r="AU13" s="19"/>
      <c r="AV13" s="66"/>
      <c r="AW13" s="22"/>
      <c r="AX13" s="68"/>
      <c r="AY13" s="22">
        <v>0.5</v>
      </c>
      <c r="AZ13" s="66" t="s">
        <v>16</v>
      </c>
      <c r="BA13" s="4"/>
      <c r="BB13" s="84"/>
      <c r="BC13" s="22"/>
      <c r="BD13" s="68"/>
      <c r="BE13" s="19"/>
      <c r="BF13" s="66"/>
      <c r="BG13" s="22"/>
      <c r="BH13" s="68"/>
      <c r="BI13" s="22"/>
      <c r="BJ13" s="68"/>
      <c r="BK13" s="22"/>
      <c r="BL13" s="68"/>
    </row>
    <row r="14" ht="22.5" spans="1:64">
      <c r="A14" s="23" t="s">
        <v>33</v>
      </c>
      <c r="B14" s="24" t="s">
        <v>7</v>
      </c>
      <c r="C14" s="23" t="s">
        <v>34</v>
      </c>
      <c r="D14" s="18">
        <f t="shared" si="0"/>
        <v>3.16</v>
      </c>
      <c r="E14" s="22"/>
      <c r="F14" s="22"/>
      <c r="G14" s="22"/>
      <c r="H14" s="22"/>
      <c r="I14" s="22"/>
      <c r="J14" s="22"/>
      <c r="K14" s="22"/>
      <c r="L14" s="36"/>
      <c r="M14" s="19">
        <v>0.5</v>
      </c>
      <c r="N14" s="19" t="s">
        <v>9</v>
      </c>
      <c r="O14" s="22"/>
      <c r="P14" s="22"/>
      <c r="Q14" s="19">
        <v>0.5</v>
      </c>
      <c r="R14" s="19" t="s">
        <v>10</v>
      </c>
      <c r="S14" s="22"/>
      <c r="T14" s="36"/>
      <c r="U14" s="22"/>
      <c r="V14" s="69"/>
      <c r="W14" s="22"/>
      <c r="X14" s="69"/>
      <c r="Y14" s="22"/>
      <c r="Z14" s="69"/>
      <c r="AA14" s="19">
        <f t="shared" si="1"/>
        <v>1.66</v>
      </c>
      <c r="AB14" s="67" t="s">
        <v>11</v>
      </c>
      <c r="AC14" s="19"/>
      <c r="AD14" s="67"/>
      <c r="AE14" s="22"/>
      <c r="AF14" s="76"/>
      <c r="AG14" s="22"/>
      <c r="AH14" s="68"/>
      <c r="AI14" s="22"/>
      <c r="AJ14" s="22"/>
      <c r="AK14" s="22"/>
      <c r="AL14" s="69"/>
      <c r="AM14" s="19"/>
      <c r="AN14" s="66"/>
      <c r="AO14" s="22"/>
      <c r="AP14" s="36"/>
      <c r="AQ14" s="19"/>
      <c r="AR14" s="67"/>
      <c r="AS14" s="19"/>
      <c r="AT14" s="66"/>
      <c r="AU14" s="19"/>
      <c r="AV14" s="66"/>
      <c r="AW14" s="22"/>
      <c r="AX14" s="68"/>
      <c r="AY14" s="22">
        <v>0.5</v>
      </c>
      <c r="AZ14" s="66" t="s">
        <v>16</v>
      </c>
      <c r="BA14" s="4"/>
      <c r="BB14" s="84"/>
      <c r="BC14" s="22"/>
      <c r="BD14" s="68"/>
      <c r="BE14" s="19"/>
      <c r="BF14" s="66"/>
      <c r="BG14" s="22"/>
      <c r="BH14" s="68"/>
      <c r="BI14" s="22"/>
      <c r="BJ14" s="68"/>
      <c r="BK14" s="22"/>
      <c r="BL14" s="68"/>
    </row>
    <row r="15" ht="22.5" spans="1:64">
      <c r="A15" s="25" t="s">
        <v>35</v>
      </c>
      <c r="B15" s="26" t="s">
        <v>7</v>
      </c>
      <c r="C15" s="27" t="s">
        <v>36</v>
      </c>
      <c r="D15" s="18">
        <f t="shared" si="0"/>
        <v>5.36</v>
      </c>
      <c r="E15" s="22"/>
      <c r="F15" s="22"/>
      <c r="G15" s="22"/>
      <c r="H15" s="22"/>
      <c r="I15" s="22"/>
      <c r="J15" s="22"/>
      <c r="K15" s="22"/>
      <c r="L15" s="36"/>
      <c r="M15" s="19">
        <v>0.5</v>
      </c>
      <c r="N15" s="19" t="s">
        <v>9</v>
      </c>
      <c r="O15" s="22"/>
      <c r="P15" s="22"/>
      <c r="Q15" s="19">
        <v>0.5</v>
      </c>
      <c r="R15" s="19" t="s">
        <v>10</v>
      </c>
      <c r="S15" s="22"/>
      <c r="T15" s="36"/>
      <c r="U15" s="22"/>
      <c r="V15" s="69"/>
      <c r="W15" s="22"/>
      <c r="X15" s="69"/>
      <c r="Y15" s="22"/>
      <c r="Z15" s="69"/>
      <c r="AA15" s="19">
        <f t="shared" si="1"/>
        <v>1.66</v>
      </c>
      <c r="AB15" s="67" t="s">
        <v>11</v>
      </c>
      <c r="AC15" s="19"/>
      <c r="AD15" s="67"/>
      <c r="AE15" s="22"/>
      <c r="AF15" s="68"/>
      <c r="AG15" s="22"/>
      <c r="AH15" s="68"/>
      <c r="AI15" s="22"/>
      <c r="AJ15" s="69"/>
      <c r="AK15" s="22"/>
      <c r="AL15" s="69"/>
      <c r="AM15" s="19">
        <v>1</v>
      </c>
      <c r="AN15" s="66" t="s">
        <v>12</v>
      </c>
      <c r="AO15" s="19">
        <v>1.2</v>
      </c>
      <c r="AP15" s="66" t="s">
        <v>13</v>
      </c>
      <c r="AQ15" s="19"/>
      <c r="AR15" s="67"/>
      <c r="AS15" s="19"/>
      <c r="AT15" s="66"/>
      <c r="AU15" s="19"/>
      <c r="AV15" s="66"/>
      <c r="AW15" s="22"/>
      <c r="AX15" s="68"/>
      <c r="AY15" s="22">
        <v>0.5</v>
      </c>
      <c r="AZ15" s="66" t="s">
        <v>16</v>
      </c>
      <c r="BA15" s="4"/>
      <c r="BB15" s="84"/>
      <c r="BC15" s="22"/>
      <c r="BD15" s="68"/>
      <c r="BE15" s="19"/>
      <c r="BF15" s="66"/>
      <c r="BG15" s="22"/>
      <c r="BH15" s="68"/>
      <c r="BI15" s="22"/>
      <c r="BJ15" s="68"/>
      <c r="BK15" s="22"/>
      <c r="BL15" s="68"/>
    </row>
    <row r="16" ht="22.5" spans="1:64">
      <c r="A16" s="28" t="s">
        <v>37</v>
      </c>
      <c r="B16" s="29" t="s">
        <v>38</v>
      </c>
      <c r="C16" s="30" t="s">
        <v>39</v>
      </c>
      <c r="D16" s="18">
        <f t="shared" si="0"/>
        <v>9.21</v>
      </c>
      <c r="E16" s="22"/>
      <c r="F16" s="22"/>
      <c r="G16" s="22"/>
      <c r="H16" s="22"/>
      <c r="I16" s="7">
        <v>1</v>
      </c>
      <c r="J16" s="7" t="s">
        <v>40</v>
      </c>
      <c r="K16" s="22"/>
      <c r="L16" s="36"/>
      <c r="M16" s="22"/>
      <c r="N16" s="22"/>
      <c r="O16" s="22"/>
      <c r="P16" s="22"/>
      <c r="Q16" s="22"/>
      <c r="R16" s="22"/>
      <c r="S16" s="22"/>
      <c r="T16" s="36"/>
      <c r="V16" s="70"/>
      <c r="W16" s="22"/>
      <c r="X16" s="69"/>
      <c r="Y16" s="22">
        <v>1</v>
      </c>
      <c r="Z16" s="22" t="s">
        <v>41</v>
      </c>
      <c r="AA16" s="22">
        <v>1</v>
      </c>
      <c r="AB16" s="22" t="s">
        <v>42</v>
      </c>
      <c r="AC16" s="22">
        <v>2.2</v>
      </c>
      <c r="AD16" s="69" t="s">
        <v>43</v>
      </c>
      <c r="AE16" s="22"/>
      <c r="AF16" s="68"/>
      <c r="AG16" s="22"/>
      <c r="AH16" s="68"/>
      <c r="AI16" s="22"/>
      <c r="AJ16" s="69"/>
      <c r="AK16" s="22">
        <v>0.5</v>
      </c>
      <c r="AL16" s="69" t="s">
        <v>44</v>
      </c>
      <c r="AM16" s="22"/>
      <c r="AN16" s="68"/>
      <c r="AO16" s="22">
        <v>1.16</v>
      </c>
      <c r="AP16" s="36" t="s">
        <v>45</v>
      </c>
      <c r="AQ16" s="22"/>
      <c r="AR16" s="69"/>
      <c r="AS16" s="22"/>
      <c r="AT16" s="68"/>
      <c r="AU16" s="22"/>
      <c r="AV16" s="68"/>
      <c r="AW16" s="22"/>
      <c r="AX16" s="68"/>
      <c r="AY16" s="22">
        <v>0.5</v>
      </c>
      <c r="AZ16" s="68" t="s">
        <v>46</v>
      </c>
      <c r="BA16" s="22">
        <v>0.5</v>
      </c>
      <c r="BB16" s="68" t="s">
        <v>47</v>
      </c>
      <c r="BC16" s="22">
        <v>1.35</v>
      </c>
      <c r="BD16" s="69" t="s">
        <v>48</v>
      </c>
      <c r="BE16" s="22"/>
      <c r="BF16" s="68"/>
      <c r="BG16" s="22"/>
      <c r="BH16" s="68"/>
      <c r="BI16" s="22"/>
      <c r="BJ16" s="68"/>
      <c r="BK16" s="22"/>
      <c r="BL16" s="68"/>
    </row>
    <row r="17" ht="22.5" spans="1:64">
      <c r="A17" s="28" t="s">
        <v>49</v>
      </c>
      <c r="B17" s="29" t="s">
        <v>38</v>
      </c>
      <c r="C17" s="30" t="s">
        <v>50</v>
      </c>
      <c r="D17" s="18">
        <f t="shared" si="0"/>
        <v>8.01</v>
      </c>
      <c r="E17" s="22"/>
      <c r="F17" s="22"/>
      <c r="G17" s="22"/>
      <c r="H17" s="22"/>
      <c r="I17" s="7">
        <v>1</v>
      </c>
      <c r="J17" s="7" t="s">
        <v>40</v>
      </c>
      <c r="K17" s="22"/>
      <c r="L17" s="22"/>
      <c r="M17" s="22"/>
      <c r="N17" s="22"/>
      <c r="O17" s="22"/>
      <c r="P17" s="22"/>
      <c r="Q17" s="22"/>
      <c r="R17" s="22"/>
      <c r="S17" s="22"/>
      <c r="T17" s="36"/>
      <c r="V17" s="70"/>
      <c r="W17" s="22"/>
      <c r="X17" s="69"/>
      <c r="Y17" s="22">
        <v>1</v>
      </c>
      <c r="Z17" s="22" t="s">
        <v>41</v>
      </c>
      <c r="AA17" s="22">
        <v>1</v>
      </c>
      <c r="AB17" s="22" t="s">
        <v>42</v>
      </c>
      <c r="AC17" s="22">
        <v>1</v>
      </c>
      <c r="AD17" s="68" t="s">
        <v>12</v>
      </c>
      <c r="AE17" s="22"/>
      <c r="AF17" s="68"/>
      <c r="AG17" s="22"/>
      <c r="AH17" s="68"/>
      <c r="AI17" s="22"/>
      <c r="AJ17" s="69"/>
      <c r="AK17" s="22">
        <v>0.5</v>
      </c>
      <c r="AL17" s="69" t="s">
        <v>44</v>
      </c>
      <c r="AN17" s="68"/>
      <c r="AO17" s="22">
        <v>1.16</v>
      </c>
      <c r="AP17" s="36" t="s">
        <v>45</v>
      </c>
      <c r="AQ17" s="22"/>
      <c r="AR17" s="69"/>
      <c r="AS17" s="22"/>
      <c r="AT17" s="68"/>
      <c r="AU17" s="22"/>
      <c r="AV17" s="68"/>
      <c r="AW17" s="22"/>
      <c r="AX17" s="68"/>
      <c r="AY17" s="22">
        <v>0.5</v>
      </c>
      <c r="AZ17" s="68" t="s">
        <v>46</v>
      </c>
      <c r="BA17" s="22">
        <v>0.5</v>
      </c>
      <c r="BB17" s="68" t="s">
        <v>47</v>
      </c>
      <c r="BC17" s="22">
        <v>1.35</v>
      </c>
      <c r="BD17" s="69" t="s">
        <v>48</v>
      </c>
      <c r="BE17" s="22"/>
      <c r="BF17" s="68"/>
      <c r="BG17" s="22"/>
      <c r="BH17" s="68"/>
      <c r="BI17" s="22"/>
      <c r="BJ17" s="68"/>
      <c r="BK17" s="22"/>
      <c r="BL17" s="68"/>
    </row>
    <row r="18" ht="22.5" spans="1:64">
      <c r="A18" s="28" t="s">
        <v>51</v>
      </c>
      <c r="B18" s="29" t="s">
        <v>38</v>
      </c>
      <c r="C18" s="30" t="s">
        <v>52</v>
      </c>
      <c r="D18" s="18">
        <f t="shared" si="0"/>
        <v>8.71</v>
      </c>
      <c r="E18" s="22"/>
      <c r="F18" s="22"/>
      <c r="G18" s="22"/>
      <c r="H18" s="22"/>
      <c r="I18" s="7">
        <v>1</v>
      </c>
      <c r="J18" s="7" t="s">
        <v>40</v>
      </c>
      <c r="K18" s="22"/>
      <c r="L18" s="22"/>
      <c r="M18" s="22"/>
      <c r="N18" s="22"/>
      <c r="O18" s="22"/>
      <c r="P18" s="22"/>
      <c r="Q18" s="22"/>
      <c r="R18" s="22"/>
      <c r="S18" s="22"/>
      <c r="T18" s="36"/>
      <c r="V18" s="70"/>
      <c r="W18" s="22"/>
      <c r="X18" s="69"/>
      <c r="Y18" s="22">
        <v>0.5</v>
      </c>
      <c r="Z18" s="69" t="s">
        <v>53</v>
      </c>
      <c r="AA18" s="22">
        <v>1</v>
      </c>
      <c r="AB18" s="22" t="s">
        <v>42</v>
      </c>
      <c r="AC18" s="22">
        <v>2.2</v>
      </c>
      <c r="AD18" s="69" t="s">
        <v>43</v>
      </c>
      <c r="AE18" s="22"/>
      <c r="AF18" s="68"/>
      <c r="AG18" s="22"/>
      <c r="AH18" s="68"/>
      <c r="AI18" s="22"/>
      <c r="AJ18" s="69"/>
      <c r="AK18" s="22">
        <v>0.5</v>
      </c>
      <c r="AL18" s="69" t="s">
        <v>44</v>
      </c>
      <c r="AM18" s="22"/>
      <c r="AN18" s="68"/>
      <c r="AO18" s="22">
        <v>1.16</v>
      </c>
      <c r="AP18" s="36" t="s">
        <v>45</v>
      </c>
      <c r="AQ18" s="22"/>
      <c r="AR18" s="69"/>
      <c r="AS18" s="22"/>
      <c r="AT18" s="68"/>
      <c r="AU18" s="22"/>
      <c r="AV18" s="68"/>
      <c r="AW18" s="22"/>
      <c r="AX18" s="68"/>
      <c r="AY18" s="22">
        <v>0.5</v>
      </c>
      <c r="AZ18" s="68" t="s">
        <v>46</v>
      </c>
      <c r="BA18" s="22">
        <v>0.5</v>
      </c>
      <c r="BB18" s="68" t="s">
        <v>47</v>
      </c>
      <c r="BC18" s="22">
        <v>1.35</v>
      </c>
      <c r="BD18" s="69" t="s">
        <v>48</v>
      </c>
      <c r="BE18" s="22"/>
      <c r="BF18" s="68"/>
      <c r="BG18" s="22"/>
      <c r="BH18" s="68"/>
      <c r="BI18" s="22"/>
      <c r="BJ18" s="68"/>
      <c r="BK18" s="22"/>
      <c r="BL18" s="68"/>
    </row>
    <row r="19" ht="22.5" spans="1:64">
      <c r="A19" s="28" t="s">
        <v>54</v>
      </c>
      <c r="B19" s="31" t="s">
        <v>38</v>
      </c>
      <c r="C19" s="28" t="s">
        <v>55</v>
      </c>
      <c r="D19" s="18">
        <f t="shared" si="0"/>
        <v>8.81</v>
      </c>
      <c r="E19" s="22"/>
      <c r="F19" s="22"/>
      <c r="G19" s="22"/>
      <c r="H19" s="22"/>
      <c r="I19" s="7">
        <v>1</v>
      </c>
      <c r="J19" s="7" t="s">
        <v>40</v>
      </c>
      <c r="K19" s="22"/>
      <c r="L19" s="22"/>
      <c r="M19" s="22"/>
      <c r="N19" s="22"/>
      <c r="O19" s="22"/>
      <c r="P19" s="22"/>
      <c r="Q19" s="22"/>
      <c r="R19" s="22"/>
      <c r="S19" s="22"/>
      <c r="T19" s="36"/>
      <c r="U19" s="22"/>
      <c r="V19" s="68"/>
      <c r="W19" s="22">
        <v>0.3</v>
      </c>
      <c r="X19" s="69" t="s">
        <v>56</v>
      </c>
      <c r="Y19" s="22">
        <v>1</v>
      </c>
      <c r="Z19" s="22" t="s">
        <v>41</v>
      </c>
      <c r="AA19" s="22">
        <v>1.5</v>
      </c>
      <c r="AB19" s="22" t="s">
        <v>57</v>
      </c>
      <c r="AC19" s="22">
        <v>1</v>
      </c>
      <c r="AD19" s="68" t="s">
        <v>12</v>
      </c>
      <c r="AE19" s="22"/>
      <c r="AF19" s="68"/>
      <c r="AG19" s="22"/>
      <c r="AH19" s="68"/>
      <c r="AI19" s="22"/>
      <c r="AJ19" s="69"/>
      <c r="AK19" s="22">
        <v>0.5</v>
      </c>
      <c r="AL19" s="69" t="s">
        <v>44</v>
      </c>
      <c r="AM19" s="22"/>
      <c r="AN19" s="68"/>
      <c r="AO19" s="22">
        <v>1.16</v>
      </c>
      <c r="AP19" s="36" t="s">
        <v>45</v>
      </c>
      <c r="AQ19" s="22"/>
      <c r="AR19" s="69"/>
      <c r="AS19" s="22"/>
      <c r="AT19" s="68"/>
      <c r="AU19" s="22"/>
      <c r="AV19" s="68"/>
      <c r="AW19" s="22"/>
      <c r="AX19" s="68"/>
      <c r="AY19" s="22">
        <v>0.5</v>
      </c>
      <c r="AZ19" s="68" t="s">
        <v>46</v>
      </c>
      <c r="BA19" s="22">
        <v>0.5</v>
      </c>
      <c r="BB19" s="68" t="s">
        <v>47</v>
      </c>
      <c r="BC19" s="22">
        <v>1.35</v>
      </c>
      <c r="BD19" s="69" t="s">
        <v>48</v>
      </c>
      <c r="BE19" s="22"/>
      <c r="BF19" s="68"/>
      <c r="BG19" s="22"/>
      <c r="BH19" s="68"/>
      <c r="BI19" s="22"/>
      <c r="BJ19" s="68"/>
      <c r="BK19" s="22"/>
      <c r="BL19" s="68"/>
    </row>
    <row r="20" ht="22.5" spans="1:64">
      <c r="A20" s="28" t="s">
        <v>58</v>
      </c>
      <c r="B20" s="31" t="s">
        <v>38</v>
      </c>
      <c r="C20" s="28" t="s">
        <v>59</v>
      </c>
      <c r="D20" s="18">
        <f t="shared" si="0"/>
        <v>9.01</v>
      </c>
      <c r="E20" s="22"/>
      <c r="F20" s="22"/>
      <c r="G20" s="22"/>
      <c r="H20" s="22"/>
      <c r="I20" s="7">
        <v>1</v>
      </c>
      <c r="J20" s="7" t="s">
        <v>40</v>
      </c>
      <c r="K20" s="22"/>
      <c r="L20" s="36"/>
      <c r="M20" s="22"/>
      <c r="N20" s="22"/>
      <c r="O20" s="22"/>
      <c r="P20" s="22"/>
      <c r="Q20" s="22"/>
      <c r="R20" s="22"/>
      <c r="S20" s="22"/>
      <c r="T20" s="22"/>
      <c r="U20" s="22"/>
      <c r="V20" s="69"/>
      <c r="W20" s="22">
        <v>0.5</v>
      </c>
      <c r="X20" s="69" t="s">
        <v>60</v>
      </c>
      <c r="Y20" s="22">
        <v>1</v>
      </c>
      <c r="Z20" s="22" t="s">
        <v>41</v>
      </c>
      <c r="AA20" s="22">
        <v>1.5</v>
      </c>
      <c r="AB20" s="22" t="s">
        <v>57</v>
      </c>
      <c r="AC20" s="22">
        <v>1</v>
      </c>
      <c r="AD20" s="68" t="s">
        <v>12</v>
      </c>
      <c r="AE20" s="22"/>
      <c r="AF20" s="68"/>
      <c r="AG20" s="22"/>
      <c r="AH20" s="68"/>
      <c r="AI20" s="22"/>
      <c r="AJ20" s="69"/>
      <c r="AK20" s="22">
        <v>0.5</v>
      </c>
      <c r="AL20" s="69" t="s">
        <v>44</v>
      </c>
      <c r="AM20" s="22"/>
      <c r="AN20" s="68"/>
      <c r="AO20" s="22">
        <v>1.16</v>
      </c>
      <c r="AP20" s="36" t="s">
        <v>45</v>
      </c>
      <c r="AQ20" s="22"/>
      <c r="AR20" s="69"/>
      <c r="AS20" s="22"/>
      <c r="AT20" s="68"/>
      <c r="AU20" s="22"/>
      <c r="AV20" s="68"/>
      <c r="AW20" s="22"/>
      <c r="AX20" s="69"/>
      <c r="AY20" s="22">
        <v>0.5</v>
      </c>
      <c r="AZ20" s="68" t="s">
        <v>46</v>
      </c>
      <c r="BA20" s="22">
        <v>0.5</v>
      </c>
      <c r="BB20" s="68" t="s">
        <v>47</v>
      </c>
      <c r="BC20" s="22">
        <v>1.35</v>
      </c>
      <c r="BD20" s="69" t="s">
        <v>48</v>
      </c>
      <c r="BE20" s="22"/>
      <c r="BF20" s="68"/>
      <c r="BG20" s="22"/>
      <c r="BH20" s="68"/>
      <c r="BI20" s="22"/>
      <c r="BJ20" s="68"/>
      <c r="BK20" s="22"/>
      <c r="BL20" s="68"/>
    </row>
    <row r="21" ht="22.5" spans="1:64">
      <c r="A21" s="28" t="s">
        <v>61</v>
      </c>
      <c r="B21" s="31" t="s">
        <v>38</v>
      </c>
      <c r="C21" s="28" t="s">
        <v>62</v>
      </c>
      <c r="D21" s="18">
        <f t="shared" si="0"/>
        <v>8.01</v>
      </c>
      <c r="E21" s="22"/>
      <c r="F21" s="22"/>
      <c r="G21" s="22"/>
      <c r="H21" s="22"/>
      <c r="I21" s="7">
        <v>1</v>
      </c>
      <c r="J21" s="7" t="s">
        <v>40</v>
      </c>
      <c r="K21" s="22"/>
      <c r="L21" s="36"/>
      <c r="M21" s="22"/>
      <c r="N21" s="22"/>
      <c r="O21" s="22"/>
      <c r="P21" s="22"/>
      <c r="Q21" s="22"/>
      <c r="R21" s="22"/>
      <c r="S21" s="22"/>
      <c r="T21" s="36"/>
      <c r="U21" s="22"/>
      <c r="V21" s="68"/>
      <c r="W21" s="22"/>
      <c r="X21" s="69"/>
      <c r="Y21" s="22">
        <v>0.5</v>
      </c>
      <c r="Z21" s="69" t="s">
        <v>53</v>
      </c>
      <c r="AA21" s="22">
        <v>1.5</v>
      </c>
      <c r="AB21" s="22" t="s">
        <v>57</v>
      </c>
      <c r="AC21" s="22">
        <v>1</v>
      </c>
      <c r="AD21" s="68" t="s">
        <v>12</v>
      </c>
      <c r="AE21" s="22"/>
      <c r="AF21" s="68"/>
      <c r="AG21" s="22"/>
      <c r="AH21" s="68"/>
      <c r="AI21" s="22"/>
      <c r="AJ21" s="69"/>
      <c r="AK21" s="22">
        <v>0.5</v>
      </c>
      <c r="AL21" s="69" t="s">
        <v>44</v>
      </c>
      <c r="AM21" s="22"/>
      <c r="AO21" s="22">
        <v>1.16</v>
      </c>
      <c r="AP21" s="36" t="s">
        <v>45</v>
      </c>
      <c r="AQ21" s="22"/>
      <c r="AR21" s="69"/>
      <c r="AS21" s="22"/>
      <c r="AT21" s="68"/>
      <c r="AU21" s="22"/>
      <c r="AV21" s="68"/>
      <c r="AW21" s="22"/>
      <c r="AX21" s="68"/>
      <c r="AY21" s="22">
        <v>0.5</v>
      </c>
      <c r="AZ21" s="68" t="s">
        <v>46</v>
      </c>
      <c r="BA21" s="22">
        <v>0.5</v>
      </c>
      <c r="BB21" s="68" t="s">
        <v>47</v>
      </c>
      <c r="BC21" s="22">
        <v>1.35</v>
      </c>
      <c r="BD21" s="69" t="s">
        <v>48</v>
      </c>
      <c r="BE21" s="22"/>
      <c r="BF21" s="68"/>
      <c r="BG21" s="22"/>
      <c r="BH21" s="68"/>
      <c r="BI21" s="22"/>
      <c r="BJ21" s="68"/>
      <c r="BK21" s="22"/>
      <c r="BL21" s="68"/>
    </row>
    <row r="22" ht="22.5" spans="1:64">
      <c r="A22" s="28" t="s">
        <v>63</v>
      </c>
      <c r="B22" s="31" t="s">
        <v>38</v>
      </c>
      <c r="C22" s="28" t="s">
        <v>64</v>
      </c>
      <c r="D22" s="18">
        <f t="shared" si="0"/>
        <v>8.01</v>
      </c>
      <c r="E22" s="22"/>
      <c r="F22" s="22"/>
      <c r="G22" s="22"/>
      <c r="H22" s="22"/>
      <c r="I22" s="7">
        <v>1</v>
      </c>
      <c r="J22" s="7" t="s">
        <v>40</v>
      </c>
      <c r="K22" s="22"/>
      <c r="L22" s="36"/>
      <c r="M22" s="22"/>
      <c r="N22" s="22"/>
      <c r="O22" s="22"/>
      <c r="P22" s="22"/>
      <c r="Q22" s="22"/>
      <c r="R22" s="22"/>
      <c r="S22" s="22"/>
      <c r="T22" s="36"/>
      <c r="U22" s="22"/>
      <c r="V22" s="68"/>
      <c r="W22" s="22"/>
      <c r="X22" s="69"/>
      <c r="Y22" s="22">
        <v>0.5</v>
      </c>
      <c r="Z22" s="69" t="s">
        <v>53</v>
      </c>
      <c r="AA22" s="22">
        <v>1.5</v>
      </c>
      <c r="AB22" s="22" t="s">
        <v>57</v>
      </c>
      <c r="AC22" s="22">
        <v>1</v>
      </c>
      <c r="AD22" s="68" t="s">
        <v>12</v>
      </c>
      <c r="AE22" s="22"/>
      <c r="AF22" s="68"/>
      <c r="AG22" s="22"/>
      <c r="AH22" s="68"/>
      <c r="AI22" s="22"/>
      <c r="AJ22" s="69"/>
      <c r="AK22" s="22">
        <v>0.5</v>
      </c>
      <c r="AL22" s="69" t="s">
        <v>44</v>
      </c>
      <c r="AM22" s="22"/>
      <c r="AN22" s="68"/>
      <c r="AO22" s="22">
        <v>1.16</v>
      </c>
      <c r="AP22" s="36" t="s">
        <v>45</v>
      </c>
      <c r="AQ22" s="22"/>
      <c r="AR22" s="69"/>
      <c r="AS22" s="22"/>
      <c r="AT22" s="68"/>
      <c r="AU22" s="22"/>
      <c r="AV22" s="68"/>
      <c r="AW22" s="22"/>
      <c r="AX22" s="68"/>
      <c r="AY22" s="22">
        <v>0.5</v>
      </c>
      <c r="AZ22" s="68" t="s">
        <v>46</v>
      </c>
      <c r="BA22" s="22">
        <v>0.5</v>
      </c>
      <c r="BB22" s="68" t="s">
        <v>47</v>
      </c>
      <c r="BC22" s="22">
        <v>1.35</v>
      </c>
      <c r="BD22" s="69" t="s">
        <v>48</v>
      </c>
      <c r="BE22" s="22"/>
      <c r="BF22" s="68"/>
      <c r="BG22" s="22"/>
      <c r="BH22" s="68"/>
      <c r="BI22" s="22"/>
      <c r="BJ22" s="68"/>
      <c r="BK22" s="22"/>
      <c r="BL22" s="68"/>
    </row>
    <row r="23" ht="22.5" spans="1:64">
      <c r="A23" s="28" t="s">
        <v>65</v>
      </c>
      <c r="B23" s="31" t="s">
        <v>38</v>
      </c>
      <c r="C23" s="28" t="s">
        <v>66</v>
      </c>
      <c r="D23" s="18">
        <f t="shared" si="0"/>
        <v>7.51</v>
      </c>
      <c r="E23" s="32"/>
      <c r="F23" s="32"/>
      <c r="G23" s="22"/>
      <c r="H23" s="22"/>
      <c r="I23" s="7">
        <v>1</v>
      </c>
      <c r="J23" s="7" t="s">
        <v>40</v>
      </c>
      <c r="K23" s="22"/>
      <c r="L23" s="36"/>
      <c r="M23" s="32"/>
      <c r="N23" s="32"/>
      <c r="O23" s="22"/>
      <c r="P23" s="22"/>
      <c r="Q23" s="32"/>
      <c r="R23" s="32"/>
      <c r="S23" s="32"/>
      <c r="T23" s="68"/>
      <c r="U23" s="22"/>
      <c r="V23" s="69"/>
      <c r="W23" s="22"/>
      <c r="X23" s="69"/>
      <c r="Y23" s="22">
        <v>0.5</v>
      </c>
      <c r="Z23" s="69" t="s">
        <v>53</v>
      </c>
      <c r="AA23" s="22">
        <v>1</v>
      </c>
      <c r="AB23" s="22" t="s">
        <v>42</v>
      </c>
      <c r="AC23" s="22">
        <v>1</v>
      </c>
      <c r="AD23" s="68" t="s">
        <v>12</v>
      </c>
      <c r="AE23" s="22"/>
      <c r="AF23" s="68"/>
      <c r="AG23" s="22"/>
      <c r="AH23" s="68"/>
      <c r="AI23" s="22"/>
      <c r="AJ23" s="69"/>
      <c r="AK23" s="22">
        <v>0.5</v>
      </c>
      <c r="AL23" s="69" t="s">
        <v>44</v>
      </c>
      <c r="AM23" s="22"/>
      <c r="AN23" s="68"/>
      <c r="AO23" s="22">
        <v>1.16</v>
      </c>
      <c r="AP23" s="36" t="s">
        <v>45</v>
      </c>
      <c r="AQ23" s="22"/>
      <c r="AR23" s="69"/>
      <c r="AS23" s="22"/>
      <c r="AT23" s="68"/>
      <c r="AU23" s="22"/>
      <c r="AV23" s="68"/>
      <c r="AW23" s="22"/>
      <c r="AX23" s="69"/>
      <c r="AY23" s="22">
        <v>0.5</v>
      </c>
      <c r="AZ23" s="68" t="s">
        <v>46</v>
      </c>
      <c r="BA23" s="22">
        <v>0.5</v>
      </c>
      <c r="BB23" s="68" t="s">
        <v>47</v>
      </c>
      <c r="BC23" s="22">
        <v>1.35</v>
      </c>
      <c r="BD23" s="69" t="s">
        <v>48</v>
      </c>
      <c r="BE23" s="22"/>
      <c r="BF23" s="68"/>
      <c r="BG23" s="22"/>
      <c r="BH23" s="68"/>
      <c r="BI23" s="22"/>
      <c r="BJ23" s="68"/>
      <c r="BK23" s="22"/>
      <c r="BL23" s="68"/>
    </row>
    <row r="24" ht="16.5" spans="1:64">
      <c r="A24" s="28" t="s">
        <v>67</v>
      </c>
      <c r="B24" s="31" t="s">
        <v>38</v>
      </c>
      <c r="C24" s="28" t="s">
        <v>68</v>
      </c>
      <c r="D24" s="18">
        <f t="shared" si="0"/>
        <v>6</v>
      </c>
      <c r="E24" s="22"/>
      <c r="F24" s="22"/>
      <c r="G24" s="22"/>
      <c r="H24" s="33"/>
      <c r="I24" s="7">
        <v>1</v>
      </c>
      <c r="J24" s="7" t="s">
        <v>40</v>
      </c>
      <c r="K24" s="22"/>
      <c r="L24" s="22"/>
      <c r="M24" s="22"/>
      <c r="N24" s="22"/>
      <c r="O24" s="22"/>
      <c r="P24" s="22"/>
      <c r="Q24" s="22"/>
      <c r="R24" s="33"/>
      <c r="S24" s="22"/>
      <c r="T24" s="22"/>
      <c r="U24" s="22"/>
      <c r="V24" s="68"/>
      <c r="W24" s="22"/>
      <c r="X24" s="69"/>
      <c r="Y24" s="22">
        <v>1</v>
      </c>
      <c r="Z24" s="22" t="s">
        <v>41</v>
      </c>
      <c r="AA24" s="22">
        <v>1.5</v>
      </c>
      <c r="AB24" s="22" t="s">
        <v>57</v>
      </c>
      <c r="AC24" s="22">
        <v>1</v>
      </c>
      <c r="AD24" s="68" t="s">
        <v>12</v>
      </c>
      <c r="AE24" s="22"/>
      <c r="AF24" s="68"/>
      <c r="AG24" s="22"/>
      <c r="AH24" s="68"/>
      <c r="AI24" s="22"/>
      <c r="AJ24" s="69"/>
      <c r="AK24" s="22">
        <v>0.5</v>
      </c>
      <c r="AL24" s="69" t="s">
        <v>44</v>
      </c>
      <c r="AM24" s="22"/>
      <c r="AN24" s="36"/>
      <c r="AO24" s="22"/>
      <c r="AP24" s="69"/>
      <c r="AQ24" s="22"/>
      <c r="AR24" s="69"/>
      <c r="AS24" s="22"/>
      <c r="AT24" s="68"/>
      <c r="AU24" s="22"/>
      <c r="AV24" s="68"/>
      <c r="AW24" s="22"/>
      <c r="AX24" s="69"/>
      <c r="AY24" s="22">
        <v>0.5</v>
      </c>
      <c r="AZ24" s="68" t="s">
        <v>46</v>
      </c>
      <c r="BA24" s="22">
        <v>0.5</v>
      </c>
      <c r="BB24" s="68" t="s">
        <v>47</v>
      </c>
      <c r="BC24" s="22"/>
      <c r="BD24" s="68"/>
      <c r="BE24" s="22"/>
      <c r="BF24" s="68"/>
      <c r="BG24" s="22"/>
      <c r="BH24" s="68"/>
      <c r="BI24" s="22"/>
      <c r="BJ24" s="68"/>
      <c r="BK24" s="22"/>
      <c r="BL24" s="68"/>
    </row>
    <row r="25" ht="22.5" spans="1:64">
      <c r="A25" s="28" t="s">
        <v>69</v>
      </c>
      <c r="B25" s="31" t="s">
        <v>38</v>
      </c>
      <c r="C25" s="28" t="s">
        <v>70</v>
      </c>
      <c r="D25" s="18">
        <f t="shared" si="0"/>
        <v>8.51</v>
      </c>
      <c r="E25" s="22"/>
      <c r="F25" s="22"/>
      <c r="G25" s="22"/>
      <c r="H25" s="33"/>
      <c r="I25" s="7">
        <v>1</v>
      </c>
      <c r="J25" s="7" t="s">
        <v>40</v>
      </c>
      <c r="K25" s="22"/>
      <c r="L25" s="22"/>
      <c r="M25" s="22"/>
      <c r="N25" s="22"/>
      <c r="O25" s="22"/>
      <c r="P25" s="22"/>
      <c r="Q25" s="22"/>
      <c r="R25" s="33"/>
      <c r="S25" s="22"/>
      <c r="T25" s="22"/>
      <c r="U25" s="22"/>
      <c r="V25" s="68"/>
      <c r="W25" s="22"/>
      <c r="X25" s="69"/>
      <c r="Y25" s="22">
        <v>1</v>
      </c>
      <c r="Z25" s="22" t="s">
        <v>41</v>
      </c>
      <c r="AA25" s="22">
        <v>1.5</v>
      </c>
      <c r="AB25" s="22" t="s">
        <v>57</v>
      </c>
      <c r="AC25" s="22">
        <v>1</v>
      </c>
      <c r="AD25" s="68" t="s">
        <v>12</v>
      </c>
      <c r="AE25" s="22"/>
      <c r="AF25" s="68"/>
      <c r="AG25" s="22"/>
      <c r="AH25" s="68"/>
      <c r="AI25" s="22"/>
      <c r="AJ25" s="69"/>
      <c r="AK25" s="22">
        <v>0.5</v>
      </c>
      <c r="AL25" s="69" t="s">
        <v>44</v>
      </c>
      <c r="AM25" s="22"/>
      <c r="AN25" s="36"/>
      <c r="AO25" s="22">
        <v>1.16</v>
      </c>
      <c r="AP25" s="36" t="s">
        <v>45</v>
      </c>
      <c r="AQ25" s="22"/>
      <c r="AR25" s="69"/>
      <c r="AS25" s="22"/>
      <c r="AT25" s="68"/>
      <c r="AU25" s="22"/>
      <c r="AV25" s="68"/>
      <c r="AW25" s="22"/>
      <c r="AX25" s="69"/>
      <c r="AY25" s="22">
        <v>0.5</v>
      </c>
      <c r="AZ25" s="68" t="s">
        <v>46</v>
      </c>
      <c r="BA25" s="22">
        <v>0.5</v>
      </c>
      <c r="BB25" s="68" t="s">
        <v>47</v>
      </c>
      <c r="BC25" s="22">
        <v>1.35</v>
      </c>
      <c r="BD25" s="69" t="s">
        <v>48</v>
      </c>
      <c r="BE25" s="22"/>
      <c r="BF25" s="68"/>
      <c r="BG25" s="22"/>
      <c r="BH25" s="68"/>
      <c r="BI25" s="22"/>
      <c r="BJ25" s="68"/>
      <c r="BK25" s="22"/>
      <c r="BL25" s="68"/>
    </row>
    <row r="26" ht="22.5" spans="1:64">
      <c r="A26" s="28" t="s">
        <v>71</v>
      </c>
      <c r="B26" s="31" t="s">
        <v>38</v>
      </c>
      <c r="C26" s="28" t="s">
        <v>72</v>
      </c>
      <c r="D26" s="18">
        <f t="shared" si="0"/>
        <v>8.01</v>
      </c>
      <c r="E26" s="22"/>
      <c r="F26" s="22"/>
      <c r="G26" s="22"/>
      <c r="H26" s="33"/>
      <c r="I26" s="7">
        <v>1</v>
      </c>
      <c r="J26" s="7" t="s">
        <v>40</v>
      </c>
      <c r="K26" s="22"/>
      <c r="L26" s="22"/>
      <c r="M26" s="22"/>
      <c r="N26" s="22"/>
      <c r="O26" s="22"/>
      <c r="P26" s="22"/>
      <c r="Q26" s="22"/>
      <c r="R26" s="33"/>
      <c r="S26" s="22"/>
      <c r="T26" s="22"/>
      <c r="U26" s="22"/>
      <c r="V26" s="68"/>
      <c r="W26" s="22"/>
      <c r="X26" s="69"/>
      <c r="Y26" s="22">
        <v>0.5</v>
      </c>
      <c r="Z26" s="69" t="s">
        <v>53</v>
      </c>
      <c r="AA26" s="22">
        <v>1.5</v>
      </c>
      <c r="AB26" s="22" t="s">
        <v>57</v>
      </c>
      <c r="AC26" s="22">
        <v>1</v>
      </c>
      <c r="AD26" s="68" t="s">
        <v>12</v>
      </c>
      <c r="AE26" s="22"/>
      <c r="AF26" s="68"/>
      <c r="AG26" s="22"/>
      <c r="AH26" s="68"/>
      <c r="AI26" s="22"/>
      <c r="AJ26" s="69"/>
      <c r="AK26" s="22">
        <v>0.5</v>
      </c>
      <c r="AL26" s="69" t="s">
        <v>44</v>
      </c>
      <c r="AM26" s="22"/>
      <c r="AN26" s="22"/>
      <c r="AO26" s="22">
        <v>1.16</v>
      </c>
      <c r="AP26" s="36" t="s">
        <v>45</v>
      </c>
      <c r="AQ26" s="22"/>
      <c r="AR26" s="69"/>
      <c r="AS26" s="22"/>
      <c r="AT26" s="68"/>
      <c r="AU26" s="22"/>
      <c r="AV26" s="68"/>
      <c r="AW26" s="22"/>
      <c r="AX26" s="69"/>
      <c r="AY26" s="22">
        <v>0.5</v>
      </c>
      <c r="AZ26" s="68" t="s">
        <v>46</v>
      </c>
      <c r="BA26" s="22">
        <v>0.5</v>
      </c>
      <c r="BB26" s="68" t="s">
        <v>47</v>
      </c>
      <c r="BC26" s="22">
        <v>1.35</v>
      </c>
      <c r="BD26" s="69" t="s">
        <v>48</v>
      </c>
      <c r="BE26" s="22"/>
      <c r="BF26" s="68"/>
      <c r="BG26" s="22"/>
      <c r="BH26" s="68"/>
      <c r="BI26" s="22"/>
      <c r="BJ26" s="68"/>
      <c r="BK26" s="22"/>
      <c r="BL26" s="68"/>
    </row>
    <row r="27" ht="22.5" spans="1:64">
      <c r="A27" s="28" t="s">
        <v>73</v>
      </c>
      <c r="B27" s="31" t="s">
        <v>38</v>
      </c>
      <c r="C27" s="28" t="s">
        <v>74</v>
      </c>
      <c r="D27" s="18">
        <f t="shared" si="0"/>
        <v>8.01</v>
      </c>
      <c r="E27" s="22"/>
      <c r="F27" s="22"/>
      <c r="G27" s="22"/>
      <c r="H27" s="33"/>
      <c r="I27" s="7">
        <v>1</v>
      </c>
      <c r="J27" s="7" t="s">
        <v>40</v>
      </c>
      <c r="K27" s="22"/>
      <c r="L27" s="22"/>
      <c r="M27" s="22"/>
      <c r="N27" s="22"/>
      <c r="O27" s="22"/>
      <c r="P27" s="22"/>
      <c r="Q27" s="22"/>
      <c r="R27" s="33"/>
      <c r="S27" s="22"/>
      <c r="T27" s="22"/>
      <c r="U27" s="22"/>
      <c r="V27" s="68"/>
      <c r="W27" s="22"/>
      <c r="X27" s="69"/>
      <c r="Y27" s="22">
        <v>0.5</v>
      </c>
      <c r="Z27" s="69" t="s">
        <v>53</v>
      </c>
      <c r="AA27" s="22">
        <v>1.5</v>
      </c>
      <c r="AB27" s="22" t="s">
        <v>57</v>
      </c>
      <c r="AC27" s="22">
        <v>1</v>
      </c>
      <c r="AD27" s="68" t="s">
        <v>12</v>
      </c>
      <c r="AE27" s="22"/>
      <c r="AF27" s="68"/>
      <c r="AG27" s="22"/>
      <c r="AH27" s="68"/>
      <c r="AI27" s="22"/>
      <c r="AJ27" s="69"/>
      <c r="AK27" s="22">
        <v>0.5</v>
      </c>
      <c r="AL27" s="69" t="s">
        <v>44</v>
      </c>
      <c r="AM27" s="22"/>
      <c r="AN27" s="36"/>
      <c r="AO27" s="22">
        <v>1.16</v>
      </c>
      <c r="AP27" s="36" t="s">
        <v>45</v>
      </c>
      <c r="AQ27" s="22"/>
      <c r="AR27" s="69"/>
      <c r="AS27" s="22"/>
      <c r="AT27" s="68"/>
      <c r="AU27" s="22"/>
      <c r="AV27" s="68"/>
      <c r="AW27" s="22"/>
      <c r="AX27" s="69"/>
      <c r="AY27" s="22">
        <v>0.5</v>
      </c>
      <c r="AZ27" s="68" t="s">
        <v>46</v>
      </c>
      <c r="BA27" s="22">
        <v>0.5</v>
      </c>
      <c r="BB27" s="68" t="s">
        <v>47</v>
      </c>
      <c r="BC27" s="22">
        <v>1.35</v>
      </c>
      <c r="BD27" s="69" t="s">
        <v>48</v>
      </c>
      <c r="BE27" s="22"/>
      <c r="BF27" s="68"/>
      <c r="BG27" s="22"/>
      <c r="BH27" s="68"/>
      <c r="BI27" s="22"/>
      <c r="BJ27" s="68"/>
      <c r="BK27" s="22"/>
      <c r="BL27" s="68"/>
    </row>
    <row r="28" ht="22.5" spans="1:64">
      <c r="A28" s="28" t="s">
        <v>75</v>
      </c>
      <c r="B28" s="31" t="s">
        <v>38</v>
      </c>
      <c r="C28" s="28" t="s">
        <v>76</v>
      </c>
      <c r="D28" s="18">
        <f t="shared" si="0"/>
        <v>7.51</v>
      </c>
      <c r="E28" s="22"/>
      <c r="F28" s="22"/>
      <c r="G28" s="22"/>
      <c r="H28" s="33"/>
      <c r="I28" s="7">
        <v>1</v>
      </c>
      <c r="J28" s="7" t="s">
        <v>40</v>
      </c>
      <c r="K28" s="22"/>
      <c r="L28" s="22"/>
      <c r="M28" s="22"/>
      <c r="N28" s="22"/>
      <c r="O28" s="22"/>
      <c r="P28" s="22"/>
      <c r="Q28" s="22"/>
      <c r="R28" s="33"/>
      <c r="S28" s="22"/>
      <c r="T28" s="22"/>
      <c r="U28" s="22"/>
      <c r="V28" s="68"/>
      <c r="W28" s="22"/>
      <c r="X28" s="69"/>
      <c r="Y28" s="22">
        <v>0.5</v>
      </c>
      <c r="Z28" s="69" t="s">
        <v>53</v>
      </c>
      <c r="AA28" s="22">
        <v>1</v>
      </c>
      <c r="AB28" s="22" t="s">
        <v>42</v>
      </c>
      <c r="AC28" s="22">
        <v>1</v>
      </c>
      <c r="AD28" s="68" t="s">
        <v>12</v>
      </c>
      <c r="AE28" s="22"/>
      <c r="AF28" s="68"/>
      <c r="AG28" s="22"/>
      <c r="AH28" s="68"/>
      <c r="AI28" s="22"/>
      <c r="AJ28" s="69"/>
      <c r="AK28" s="22">
        <v>0.5</v>
      </c>
      <c r="AL28" s="69" t="s">
        <v>44</v>
      </c>
      <c r="AM28" s="22"/>
      <c r="AN28" s="22"/>
      <c r="AO28" s="22">
        <v>1.16</v>
      </c>
      <c r="AP28" s="36" t="s">
        <v>45</v>
      </c>
      <c r="AQ28" s="22"/>
      <c r="AR28" s="69"/>
      <c r="AS28" s="22"/>
      <c r="AT28" s="68"/>
      <c r="AU28" s="22"/>
      <c r="AV28" s="68"/>
      <c r="AW28" s="22"/>
      <c r="AX28" s="69"/>
      <c r="AY28" s="22">
        <v>0.5</v>
      </c>
      <c r="AZ28" s="68" t="s">
        <v>46</v>
      </c>
      <c r="BA28" s="22">
        <v>0.5</v>
      </c>
      <c r="BB28" s="68" t="s">
        <v>47</v>
      </c>
      <c r="BC28" s="22">
        <v>1.35</v>
      </c>
      <c r="BD28" s="69" t="s">
        <v>48</v>
      </c>
      <c r="BE28" s="22"/>
      <c r="BF28" s="68"/>
      <c r="BG28" s="22"/>
      <c r="BH28" s="68"/>
      <c r="BI28" s="22"/>
      <c r="BJ28" s="68"/>
      <c r="BK28" s="22"/>
      <c r="BL28" s="68"/>
    </row>
    <row r="29" ht="22.5" spans="1:64">
      <c r="A29" s="28" t="s">
        <v>77</v>
      </c>
      <c r="B29" s="26" t="s">
        <v>38</v>
      </c>
      <c r="C29" s="25" t="s">
        <v>78</v>
      </c>
      <c r="D29" s="18">
        <f t="shared" si="0"/>
        <v>7.51</v>
      </c>
      <c r="E29" s="22"/>
      <c r="F29" s="22"/>
      <c r="G29" s="22"/>
      <c r="H29" s="33"/>
      <c r="I29" s="22"/>
      <c r="J29" s="33"/>
      <c r="K29" s="22"/>
      <c r="L29" s="22"/>
      <c r="M29" s="22"/>
      <c r="N29" s="22"/>
      <c r="O29" s="22"/>
      <c r="P29" s="22"/>
      <c r="Q29" s="22"/>
      <c r="R29" s="33"/>
      <c r="S29" s="22"/>
      <c r="T29" s="22"/>
      <c r="U29" s="22"/>
      <c r="V29" s="68"/>
      <c r="W29" s="22"/>
      <c r="X29" s="69"/>
      <c r="Y29" s="22">
        <v>1</v>
      </c>
      <c r="Z29" s="22" t="s">
        <v>41</v>
      </c>
      <c r="AA29" s="22">
        <v>1.5</v>
      </c>
      <c r="AB29" s="22" t="s">
        <v>57</v>
      </c>
      <c r="AC29" s="22">
        <v>1</v>
      </c>
      <c r="AD29" s="68" t="s">
        <v>12</v>
      </c>
      <c r="AE29" s="22"/>
      <c r="AF29" s="68"/>
      <c r="AG29" s="22"/>
      <c r="AH29" s="68"/>
      <c r="AI29" s="22"/>
      <c r="AJ29" s="68"/>
      <c r="AK29" s="22">
        <v>0.5</v>
      </c>
      <c r="AL29" s="69" t="s">
        <v>44</v>
      </c>
      <c r="AM29" s="22"/>
      <c r="AN29" s="22"/>
      <c r="AO29" s="22">
        <v>1.16</v>
      </c>
      <c r="AP29" s="36" t="s">
        <v>45</v>
      </c>
      <c r="AQ29" s="19"/>
      <c r="AR29" s="67"/>
      <c r="AS29" s="22"/>
      <c r="AT29" s="68"/>
      <c r="AU29" s="22"/>
      <c r="AV29" s="68"/>
      <c r="AW29" s="22"/>
      <c r="AX29" s="69"/>
      <c r="AY29" s="22">
        <v>0.5</v>
      </c>
      <c r="AZ29" s="68" t="s">
        <v>46</v>
      </c>
      <c r="BA29" s="22">
        <v>0.5</v>
      </c>
      <c r="BB29" s="68" t="s">
        <v>47</v>
      </c>
      <c r="BC29" s="22">
        <v>1.35</v>
      </c>
      <c r="BD29" s="69" t="s">
        <v>48</v>
      </c>
      <c r="BE29" s="22"/>
      <c r="BF29" s="68"/>
      <c r="BG29" s="22"/>
      <c r="BH29" s="68"/>
      <c r="BI29" s="22"/>
      <c r="BJ29" s="68"/>
      <c r="BK29" s="22"/>
      <c r="BL29" s="68"/>
    </row>
    <row r="30" ht="16.5" spans="1:64">
      <c r="A30" s="34" t="s">
        <v>79</v>
      </c>
      <c r="B30" s="35" t="s">
        <v>80</v>
      </c>
      <c r="C30" s="34" t="s">
        <v>81</v>
      </c>
      <c r="D30" s="18">
        <f t="shared" si="0"/>
        <v>4.4</v>
      </c>
      <c r="E30" s="22"/>
      <c r="F30" s="22"/>
      <c r="G30" s="22">
        <v>1</v>
      </c>
      <c r="H30" s="33" t="s">
        <v>82</v>
      </c>
      <c r="I30" s="22"/>
      <c r="J30" s="33"/>
      <c r="K30" s="22"/>
      <c r="L30" s="22"/>
      <c r="M30" s="22"/>
      <c r="N30" s="22"/>
      <c r="O30" s="22"/>
      <c r="P30" s="33"/>
      <c r="Q30" s="22"/>
      <c r="R30" s="33"/>
      <c r="S30" s="22"/>
      <c r="T30" s="22"/>
      <c r="U30" s="22"/>
      <c r="V30" s="68"/>
      <c r="W30" s="22"/>
      <c r="X30" s="68"/>
      <c r="Y30" s="22"/>
      <c r="Z30" s="68"/>
      <c r="AA30" s="22"/>
      <c r="AB30" s="68"/>
      <c r="AC30" s="22">
        <v>0.5</v>
      </c>
      <c r="AD30" s="69" t="s">
        <v>16</v>
      </c>
      <c r="AE30" s="22">
        <v>1.2</v>
      </c>
      <c r="AF30" s="68" t="s">
        <v>83</v>
      </c>
      <c r="AG30" s="22"/>
      <c r="AH30" s="36"/>
      <c r="AI30" s="22"/>
      <c r="AJ30" s="68"/>
      <c r="AK30" s="22"/>
      <c r="AL30" s="69"/>
      <c r="AM30" s="22"/>
      <c r="AN30" s="22"/>
      <c r="AO30" s="22">
        <v>1.2</v>
      </c>
      <c r="AP30" s="69" t="s">
        <v>84</v>
      </c>
      <c r="AQ30" s="22"/>
      <c r="AR30" s="69"/>
      <c r="AS30" s="22"/>
      <c r="AT30" s="68"/>
      <c r="AU30" s="22"/>
      <c r="AV30" s="68"/>
      <c r="AW30" s="22"/>
      <c r="AX30" s="69"/>
      <c r="AY30" s="22">
        <v>0.5</v>
      </c>
      <c r="AZ30" s="68" t="s">
        <v>85</v>
      </c>
      <c r="BA30" s="22"/>
      <c r="BB30" s="68"/>
      <c r="BC30" s="22"/>
      <c r="BD30" s="68"/>
      <c r="BE30" s="22"/>
      <c r="BF30" s="22"/>
      <c r="BG30" s="22"/>
      <c r="BH30" s="68"/>
      <c r="BI30" s="22"/>
      <c r="BJ30" s="68"/>
      <c r="BK30" s="22"/>
      <c r="BL30" s="68"/>
    </row>
    <row r="31" ht="16.5" spans="1:64">
      <c r="A31" s="34" t="s">
        <v>86</v>
      </c>
      <c r="B31" s="35" t="s">
        <v>80</v>
      </c>
      <c r="C31" s="34" t="s">
        <v>87</v>
      </c>
      <c r="D31" s="18">
        <f t="shared" si="0"/>
        <v>4.4</v>
      </c>
      <c r="E31" s="22"/>
      <c r="F31" s="22"/>
      <c r="G31" s="22">
        <v>1</v>
      </c>
      <c r="H31" s="33" t="s">
        <v>82</v>
      </c>
      <c r="I31" s="22"/>
      <c r="J31" s="33"/>
      <c r="K31" s="22"/>
      <c r="L31" s="22"/>
      <c r="M31" s="22"/>
      <c r="N31" s="22"/>
      <c r="O31" s="22"/>
      <c r="P31" s="33"/>
      <c r="Q31" s="22"/>
      <c r="R31" s="33"/>
      <c r="S31" s="22"/>
      <c r="T31" s="22"/>
      <c r="U31" s="22"/>
      <c r="V31" s="68"/>
      <c r="W31" s="22"/>
      <c r="X31" s="68"/>
      <c r="Y31" s="22"/>
      <c r="Z31" s="68"/>
      <c r="AA31" s="22"/>
      <c r="AB31" s="68"/>
      <c r="AC31" s="22">
        <v>0.5</v>
      </c>
      <c r="AD31" s="69" t="s">
        <v>16</v>
      </c>
      <c r="AE31" s="22">
        <v>1.2</v>
      </c>
      <c r="AF31" s="68" t="s">
        <v>83</v>
      </c>
      <c r="AG31" s="22"/>
      <c r="AH31" s="69"/>
      <c r="AI31" s="22"/>
      <c r="AJ31" s="69"/>
      <c r="AK31" s="22"/>
      <c r="AL31" s="69"/>
      <c r="AM31" s="22"/>
      <c r="AN31" s="22"/>
      <c r="AO31" s="22">
        <v>1.2</v>
      </c>
      <c r="AP31" s="69" t="s">
        <v>84</v>
      </c>
      <c r="AQ31" s="22"/>
      <c r="AR31" s="69"/>
      <c r="AS31" s="22"/>
      <c r="AT31" s="68"/>
      <c r="AU31" s="22"/>
      <c r="AV31" s="68"/>
      <c r="AW31" s="22"/>
      <c r="AX31" s="69"/>
      <c r="AY31" s="22">
        <v>0.5</v>
      </c>
      <c r="AZ31" s="68" t="s">
        <v>85</v>
      </c>
      <c r="BA31" s="22"/>
      <c r="BB31" s="68"/>
      <c r="BC31" s="22"/>
      <c r="BD31" s="68"/>
      <c r="BE31" s="22"/>
      <c r="BF31" s="22"/>
      <c r="BG31" s="22"/>
      <c r="BH31" s="68"/>
      <c r="BI31" s="22"/>
      <c r="BJ31" s="68"/>
      <c r="BK31" s="22"/>
      <c r="BL31" s="68"/>
    </row>
    <row r="32" ht="16.5" spans="1:64">
      <c r="A32" s="34" t="s">
        <v>88</v>
      </c>
      <c r="B32" s="35" t="s">
        <v>80</v>
      </c>
      <c r="C32" s="34" t="s">
        <v>89</v>
      </c>
      <c r="D32" s="18">
        <f t="shared" si="0"/>
        <v>4.4</v>
      </c>
      <c r="E32" s="22"/>
      <c r="F32" s="22"/>
      <c r="G32" s="22">
        <v>1</v>
      </c>
      <c r="H32" s="33" t="s">
        <v>82</v>
      </c>
      <c r="I32" s="22"/>
      <c r="J32" s="33"/>
      <c r="K32" s="22"/>
      <c r="L32" s="22"/>
      <c r="M32" s="22"/>
      <c r="N32" s="22"/>
      <c r="O32" s="22"/>
      <c r="P32" s="33"/>
      <c r="Q32" s="22"/>
      <c r="R32" s="33"/>
      <c r="S32" s="22"/>
      <c r="T32" s="22"/>
      <c r="U32" s="22"/>
      <c r="V32" s="68"/>
      <c r="W32" s="22"/>
      <c r="X32" s="68"/>
      <c r="Y32" s="22"/>
      <c r="Z32" s="68"/>
      <c r="AA32" s="22"/>
      <c r="AB32" s="68"/>
      <c r="AC32" s="22">
        <v>0.5</v>
      </c>
      <c r="AD32" s="69" t="s">
        <v>16</v>
      </c>
      <c r="AE32" s="22">
        <v>1.2</v>
      </c>
      <c r="AF32" s="68" t="s">
        <v>83</v>
      </c>
      <c r="AG32" s="22"/>
      <c r="AH32" s="36"/>
      <c r="AI32" s="22"/>
      <c r="AJ32" s="68"/>
      <c r="AK32" s="22"/>
      <c r="AL32" s="69"/>
      <c r="AM32" s="22"/>
      <c r="AN32" s="22"/>
      <c r="AO32" s="22">
        <v>1.2</v>
      </c>
      <c r="AP32" s="69" t="s">
        <v>84</v>
      </c>
      <c r="AQ32" s="22"/>
      <c r="AR32" s="69"/>
      <c r="AS32" s="22"/>
      <c r="AT32" s="68"/>
      <c r="AU32" s="22"/>
      <c r="AV32" s="68"/>
      <c r="AW32" s="22"/>
      <c r="AX32" s="69"/>
      <c r="AY32" s="22">
        <v>0.5</v>
      </c>
      <c r="AZ32" s="68" t="s">
        <v>85</v>
      </c>
      <c r="BA32" s="22"/>
      <c r="BB32" s="68"/>
      <c r="BC32" s="22"/>
      <c r="BD32" s="68"/>
      <c r="BE32" s="22"/>
      <c r="BF32" s="22"/>
      <c r="BG32" s="22"/>
      <c r="BH32" s="68"/>
      <c r="BI32" s="22"/>
      <c r="BJ32" s="68"/>
      <c r="BK32" s="22"/>
      <c r="BL32" s="68"/>
    </row>
    <row r="33" ht="16.5" spans="1:64">
      <c r="A33" s="34" t="s">
        <v>90</v>
      </c>
      <c r="B33" s="35" t="s">
        <v>80</v>
      </c>
      <c r="C33" s="34" t="s">
        <v>91</v>
      </c>
      <c r="D33" s="18">
        <f t="shared" si="0"/>
        <v>4.4</v>
      </c>
      <c r="E33" s="22"/>
      <c r="F33" s="22"/>
      <c r="G33" s="22">
        <v>1</v>
      </c>
      <c r="H33" s="33" t="s">
        <v>82</v>
      </c>
      <c r="I33" s="22"/>
      <c r="J33" s="33"/>
      <c r="K33" s="22"/>
      <c r="L33" s="22"/>
      <c r="M33" s="22"/>
      <c r="N33" s="22"/>
      <c r="O33" s="22"/>
      <c r="P33" s="33"/>
      <c r="Q33" s="22"/>
      <c r="R33" s="33"/>
      <c r="S33" s="22"/>
      <c r="T33" s="22"/>
      <c r="U33" s="22"/>
      <c r="V33" s="68"/>
      <c r="W33" s="22"/>
      <c r="X33" s="68"/>
      <c r="Y33" s="22"/>
      <c r="Z33" s="68"/>
      <c r="AA33" s="22"/>
      <c r="AB33" s="68"/>
      <c r="AC33" s="22">
        <v>0.5</v>
      </c>
      <c r="AD33" s="69" t="s">
        <v>16</v>
      </c>
      <c r="AE33" s="22">
        <v>1.2</v>
      </c>
      <c r="AF33" s="68" t="s">
        <v>83</v>
      </c>
      <c r="AG33" s="22"/>
      <c r="AH33" s="36"/>
      <c r="AI33" s="22"/>
      <c r="AJ33" s="68"/>
      <c r="AK33" s="22"/>
      <c r="AL33" s="69"/>
      <c r="AM33" s="22"/>
      <c r="AN33" s="36"/>
      <c r="AO33" s="22">
        <v>1.2</v>
      </c>
      <c r="AP33" s="69" t="s">
        <v>84</v>
      </c>
      <c r="AQ33" s="22"/>
      <c r="AR33" s="69"/>
      <c r="AS33" s="22"/>
      <c r="AT33" s="68"/>
      <c r="AU33" s="22"/>
      <c r="AV33" s="68"/>
      <c r="AW33" s="22"/>
      <c r="AX33" s="69"/>
      <c r="AY33" s="22">
        <v>0.5</v>
      </c>
      <c r="AZ33" s="68" t="s">
        <v>85</v>
      </c>
      <c r="BA33" s="22"/>
      <c r="BB33" s="68"/>
      <c r="BC33" s="22"/>
      <c r="BD33" s="68"/>
      <c r="BE33" s="22"/>
      <c r="BF33" s="22"/>
      <c r="BG33" s="22"/>
      <c r="BH33" s="68"/>
      <c r="BI33" s="22"/>
      <c r="BJ33" s="68"/>
      <c r="BK33" s="22"/>
      <c r="BL33" s="68"/>
    </row>
    <row r="34" ht="16.5" spans="1:64">
      <c r="A34" s="34" t="s">
        <v>92</v>
      </c>
      <c r="B34" s="35" t="s">
        <v>80</v>
      </c>
      <c r="C34" s="34" t="s">
        <v>93</v>
      </c>
      <c r="D34" s="18">
        <f t="shared" si="0"/>
        <v>4.4</v>
      </c>
      <c r="E34" s="22"/>
      <c r="F34" s="22"/>
      <c r="G34" s="22">
        <v>1</v>
      </c>
      <c r="H34" s="33" t="s">
        <v>82</v>
      </c>
      <c r="I34" s="22"/>
      <c r="J34" s="33"/>
      <c r="K34" s="22"/>
      <c r="L34" s="22"/>
      <c r="M34" s="22"/>
      <c r="N34" s="22"/>
      <c r="O34" s="22"/>
      <c r="P34" s="33"/>
      <c r="Q34" s="22"/>
      <c r="R34" s="33"/>
      <c r="S34" s="22"/>
      <c r="T34" s="22"/>
      <c r="U34" s="22"/>
      <c r="V34" s="68"/>
      <c r="W34" s="22"/>
      <c r="X34" s="68"/>
      <c r="Y34" s="22"/>
      <c r="Z34" s="68"/>
      <c r="AA34" s="22"/>
      <c r="AB34" s="68"/>
      <c r="AC34" s="22">
        <v>0.5</v>
      </c>
      <c r="AD34" s="69" t="s">
        <v>16</v>
      </c>
      <c r="AE34" s="22">
        <v>1.2</v>
      </c>
      <c r="AF34" s="68" t="s">
        <v>83</v>
      </c>
      <c r="AG34" s="22"/>
      <c r="AH34" s="69"/>
      <c r="AI34" s="22"/>
      <c r="AJ34" s="69"/>
      <c r="AK34" s="22"/>
      <c r="AL34" s="69"/>
      <c r="AM34" s="22"/>
      <c r="AN34" s="36"/>
      <c r="AO34" s="22">
        <v>1.2</v>
      </c>
      <c r="AP34" s="69" t="s">
        <v>84</v>
      </c>
      <c r="AQ34" s="22"/>
      <c r="AR34" s="69"/>
      <c r="AS34" s="22"/>
      <c r="AT34" s="68"/>
      <c r="AU34" s="22"/>
      <c r="AV34" s="68"/>
      <c r="AW34" s="22"/>
      <c r="AX34" s="69"/>
      <c r="AY34" s="22">
        <v>0.5</v>
      </c>
      <c r="AZ34" s="68" t="s">
        <v>85</v>
      </c>
      <c r="BA34" s="22"/>
      <c r="BB34" s="68"/>
      <c r="BC34" s="22"/>
      <c r="BD34" s="68"/>
      <c r="BE34" s="22"/>
      <c r="BF34" s="22"/>
      <c r="BG34" s="22"/>
      <c r="BH34" s="68"/>
      <c r="BI34" s="22"/>
      <c r="BJ34" s="68"/>
      <c r="BK34" s="22"/>
      <c r="BL34" s="68"/>
    </row>
    <row r="35" ht="21" customHeight="1" spans="1:64">
      <c r="A35" s="34" t="s">
        <v>94</v>
      </c>
      <c r="B35" s="35" t="s">
        <v>80</v>
      </c>
      <c r="C35" s="34" t="s">
        <v>95</v>
      </c>
      <c r="D35" s="18">
        <f t="shared" si="0"/>
        <v>4.4</v>
      </c>
      <c r="E35" s="22"/>
      <c r="F35" s="36"/>
      <c r="G35" s="22">
        <v>1</v>
      </c>
      <c r="H35" s="33" t="s">
        <v>82</v>
      </c>
      <c r="I35" s="22"/>
      <c r="J35" s="22"/>
      <c r="K35" s="22"/>
      <c r="L35" s="22"/>
      <c r="M35" s="22"/>
      <c r="N35" s="22"/>
      <c r="O35" s="22"/>
      <c r="P35" s="22"/>
      <c r="Q35" s="22"/>
      <c r="R35" s="36"/>
      <c r="S35" s="22"/>
      <c r="T35" s="36"/>
      <c r="U35" s="22"/>
      <c r="V35" s="68"/>
      <c r="W35" s="22"/>
      <c r="X35" s="68"/>
      <c r="Y35" s="22"/>
      <c r="Z35" s="68"/>
      <c r="AA35" s="22"/>
      <c r="AB35" s="68"/>
      <c r="AC35" s="22">
        <v>0.5</v>
      </c>
      <c r="AD35" s="69" t="s">
        <v>16</v>
      </c>
      <c r="AE35" s="22">
        <v>1.2</v>
      </c>
      <c r="AF35" s="68" t="s">
        <v>83</v>
      </c>
      <c r="AG35" s="22"/>
      <c r="AH35" s="68"/>
      <c r="AI35" s="22"/>
      <c r="AJ35" s="69"/>
      <c r="AK35" s="22"/>
      <c r="AL35" s="69"/>
      <c r="AM35" s="22"/>
      <c r="AN35" s="69"/>
      <c r="AO35" s="22">
        <v>1.2</v>
      </c>
      <c r="AP35" s="69" t="s">
        <v>84</v>
      </c>
      <c r="AQ35" s="22"/>
      <c r="AR35" s="69"/>
      <c r="AS35" s="22"/>
      <c r="AT35" s="68"/>
      <c r="AU35" s="22"/>
      <c r="AV35" s="69"/>
      <c r="AW35" s="22"/>
      <c r="AX35" s="68"/>
      <c r="AY35" s="22">
        <v>0.5</v>
      </c>
      <c r="AZ35" s="68" t="s">
        <v>85</v>
      </c>
      <c r="BA35" s="22"/>
      <c r="BB35" s="68"/>
      <c r="BC35" s="22"/>
      <c r="BD35" s="68"/>
      <c r="BE35" s="22"/>
      <c r="BF35" s="22"/>
      <c r="BG35" s="22"/>
      <c r="BH35" s="68"/>
      <c r="BI35" s="22"/>
      <c r="BJ35" s="68"/>
      <c r="BK35" s="22"/>
      <c r="BL35" s="68"/>
    </row>
    <row r="36" ht="16.5" spans="1:64">
      <c r="A36" s="23" t="s">
        <v>96</v>
      </c>
      <c r="B36" s="24" t="s">
        <v>80</v>
      </c>
      <c r="C36" s="23" t="s">
        <v>97</v>
      </c>
      <c r="D36" s="18">
        <f t="shared" si="0"/>
        <v>4.9</v>
      </c>
      <c r="E36" s="22"/>
      <c r="F36" s="36"/>
      <c r="G36" s="22">
        <v>1</v>
      </c>
      <c r="H36" s="33" t="s">
        <v>82</v>
      </c>
      <c r="I36" s="22">
        <v>0.5</v>
      </c>
      <c r="J36" s="22" t="s">
        <v>98</v>
      </c>
      <c r="K36" s="22"/>
      <c r="L36" s="22"/>
      <c r="M36" s="22"/>
      <c r="N36" s="22"/>
      <c r="O36" s="22"/>
      <c r="P36" s="22"/>
      <c r="Q36" s="22"/>
      <c r="R36" s="36"/>
      <c r="S36" s="22"/>
      <c r="T36" s="22"/>
      <c r="U36" s="22"/>
      <c r="V36" s="68"/>
      <c r="W36" s="22"/>
      <c r="X36" s="68"/>
      <c r="Y36" s="22"/>
      <c r="Z36" s="68"/>
      <c r="AA36" s="22"/>
      <c r="AB36" s="68"/>
      <c r="AC36" s="22">
        <v>0.5</v>
      </c>
      <c r="AD36" s="69" t="s">
        <v>16</v>
      </c>
      <c r="AE36" s="22">
        <v>1.2</v>
      </c>
      <c r="AF36" s="68" t="s">
        <v>83</v>
      </c>
      <c r="AG36" s="22"/>
      <c r="AH36" s="68"/>
      <c r="AI36" s="22"/>
      <c r="AJ36" s="69"/>
      <c r="AK36" s="22"/>
      <c r="AL36" s="69"/>
      <c r="AM36" s="22"/>
      <c r="AN36" s="69"/>
      <c r="AO36" s="22">
        <v>1.2</v>
      </c>
      <c r="AP36" s="69" t="s">
        <v>84</v>
      </c>
      <c r="AQ36" s="22"/>
      <c r="AR36" s="69"/>
      <c r="AS36" s="22"/>
      <c r="AT36" s="68"/>
      <c r="AU36" s="22"/>
      <c r="AV36" s="68"/>
      <c r="AW36" s="22"/>
      <c r="AX36" s="68"/>
      <c r="AY36" s="22">
        <v>0.5</v>
      </c>
      <c r="AZ36" s="68" t="s">
        <v>85</v>
      </c>
      <c r="BA36" s="22"/>
      <c r="BB36" s="68"/>
      <c r="BC36" s="22"/>
      <c r="BD36" s="68"/>
      <c r="BE36" s="22"/>
      <c r="BF36" s="22"/>
      <c r="BG36" s="22"/>
      <c r="BH36" s="68"/>
      <c r="BI36" s="22"/>
      <c r="BJ36" s="68"/>
      <c r="BK36" s="22"/>
      <c r="BL36" s="68"/>
    </row>
    <row r="37" ht="16.5" spans="1:64">
      <c r="A37" s="28" t="s">
        <v>99</v>
      </c>
      <c r="B37" s="37" t="s">
        <v>80</v>
      </c>
      <c r="C37" s="38" t="s">
        <v>100</v>
      </c>
      <c r="D37" s="18">
        <f t="shared" si="0"/>
        <v>5.9</v>
      </c>
      <c r="E37" s="39"/>
      <c r="F37" s="40"/>
      <c r="G37" s="22">
        <v>1</v>
      </c>
      <c r="H37" s="33" t="s">
        <v>82</v>
      </c>
      <c r="I37" s="22">
        <v>0.5</v>
      </c>
      <c r="J37" s="22" t="s">
        <v>98</v>
      </c>
      <c r="K37" s="7">
        <v>1</v>
      </c>
      <c r="L37" s="7" t="s">
        <v>101</v>
      </c>
      <c r="M37" s="39"/>
      <c r="N37" s="39"/>
      <c r="O37" s="39"/>
      <c r="P37" s="39"/>
      <c r="Q37" s="39"/>
      <c r="R37" s="40"/>
      <c r="S37" s="39"/>
      <c r="T37" s="39"/>
      <c r="U37" s="39"/>
      <c r="V37" s="71"/>
      <c r="W37" s="39"/>
      <c r="X37" s="71"/>
      <c r="Y37" s="39"/>
      <c r="Z37" s="71"/>
      <c r="AA37" s="39"/>
      <c r="AB37" s="71"/>
      <c r="AC37" s="22">
        <v>0.5</v>
      </c>
      <c r="AD37" s="69" t="s">
        <v>16</v>
      </c>
      <c r="AE37" s="22">
        <v>1.2</v>
      </c>
      <c r="AF37" s="68" t="s">
        <v>83</v>
      </c>
      <c r="AG37" s="39"/>
      <c r="AH37" s="71"/>
      <c r="AI37" s="39"/>
      <c r="AJ37" s="74"/>
      <c r="AK37" s="39"/>
      <c r="AL37" s="74"/>
      <c r="AM37" s="39"/>
      <c r="AN37" s="74"/>
      <c r="AO37" s="22">
        <v>1.2</v>
      </c>
      <c r="AP37" s="69" t="s">
        <v>84</v>
      </c>
      <c r="AQ37" s="22"/>
      <c r="AR37" s="69"/>
      <c r="AS37" s="22"/>
      <c r="AT37" s="68"/>
      <c r="AU37" s="39"/>
      <c r="AV37" s="71"/>
      <c r="AW37" s="39"/>
      <c r="AX37" s="71"/>
      <c r="AY37" s="22">
        <v>0.5</v>
      </c>
      <c r="AZ37" s="68" t="s">
        <v>85</v>
      </c>
      <c r="BA37" s="39"/>
      <c r="BB37" s="71"/>
      <c r="BC37" s="39"/>
      <c r="BD37" s="71"/>
      <c r="BE37" s="22"/>
      <c r="BF37" s="22"/>
      <c r="BG37" s="22"/>
      <c r="BH37" s="68"/>
      <c r="BI37" s="39"/>
      <c r="BJ37" s="71"/>
      <c r="BK37" s="39"/>
      <c r="BL37" s="71"/>
    </row>
    <row r="38" ht="22.5" spans="1:64">
      <c r="A38" s="28" t="s">
        <v>102</v>
      </c>
      <c r="B38" s="41" t="s">
        <v>103</v>
      </c>
      <c r="C38" s="42" t="s">
        <v>104</v>
      </c>
      <c r="D38" s="18">
        <f t="shared" si="0"/>
        <v>5.33</v>
      </c>
      <c r="F38" s="43"/>
      <c r="K38" s="7">
        <v>1</v>
      </c>
      <c r="L38" s="7" t="s">
        <v>101</v>
      </c>
      <c r="R38" s="43"/>
      <c r="V38" s="70"/>
      <c r="W38" s="7"/>
      <c r="X38" s="70"/>
      <c r="Y38" s="7">
        <v>1.5</v>
      </c>
      <c r="Z38" s="70" t="s">
        <v>105</v>
      </c>
      <c r="AA38" s="7"/>
      <c r="AB38" s="70"/>
      <c r="AC38" s="7"/>
      <c r="AD38" s="70"/>
      <c r="AE38" s="7"/>
      <c r="AF38" s="70"/>
      <c r="AG38" s="7"/>
      <c r="AH38" s="70"/>
      <c r="AI38" s="7"/>
      <c r="AJ38" s="72"/>
      <c r="AK38" s="7"/>
      <c r="AL38" s="72"/>
      <c r="AM38" s="8">
        <v>2</v>
      </c>
      <c r="AN38" s="80" t="s">
        <v>106</v>
      </c>
      <c r="AQ38" s="7"/>
      <c r="AR38" s="70"/>
      <c r="AS38" s="7"/>
      <c r="AT38" s="70"/>
      <c r="AU38" s="7"/>
      <c r="AV38" s="70"/>
      <c r="AW38" s="7"/>
      <c r="AX38" s="70"/>
      <c r="AY38" s="7">
        <v>0.83</v>
      </c>
      <c r="AZ38" s="70" t="s">
        <v>107</v>
      </c>
      <c r="BA38" s="7"/>
      <c r="BB38" s="70"/>
      <c r="BC38" s="7"/>
      <c r="BD38" s="70"/>
      <c r="BE38" s="22"/>
      <c r="BF38" s="22"/>
      <c r="BG38" s="7"/>
      <c r="BH38" s="70"/>
      <c r="BI38" s="7"/>
      <c r="BJ38" s="70"/>
      <c r="BK38" s="7"/>
      <c r="BL38" s="70"/>
    </row>
    <row r="39" ht="16.5" spans="1:64">
      <c r="A39" s="25" t="s">
        <v>108</v>
      </c>
      <c r="B39" s="44" t="s">
        <v>80</v>
      </c>
      <c r="C39" s="45" t="s">
        <v>109</v>
      </c>
      <c r="D39" s="18">
        <f t="shared" si="0"/>
        <v>4.9</v>
      </c>
      <c r="E39" s="19"/>
      <c r="F39" s="46"/>
      <c r="G39" s="22">
        <v>1</v>
      </c>
      <c r="H39" s="33" t="s">
        <v>82</v>
      </c>
      <c r="I39" s="22">
        <v>0.5</v>
      </c>
      <c r="J39" s="22" t="s">
        <v>98</v>
      </c>
      <c r="K39" s="19"/>
      <c r="L39" s="19"/>
      <c r="M39" s="19"/>
      <c r="N39" s="19"/>
      <c r="O39" s="19"/>
      <c r="P39" s="19"/>
      <c r="Q39" s="19"/>
      <c r="R39" s="46"/>
      <c r="S39" s="19"/>
      <c r="T39" s="19"/>
      <c r="U39" s="19"/>
      <c r="V39" s="66"/>
      <c r="W39" s="19"/>
      <c r="X39" s="66"/>
      <c r="Y39" s="19"/>
      <c r="Z39" s="66"/>
      <c r="AA39" s="19"/>
      <c r="AB39" s="66"/>
      <c r="AC39" s="22">
        <v>0.5</v>
      </c>
      <c r="AD39" s="69" t="s">
        <v>16</v>
      </c>
      <c r="AE39" s="22">
        <v>1.2</v>
      </c>
      <c r="AF39" s="68" t="s">
        <v>83</v>
      </c>
      <c r="AG39" s="19"/>
      <c r="AH39" s="66"/>
      <c r="AI39" s="19"/>
      <c r="AJ39" s="67"/>
      <c r="AK39" s="19"/>
      <c r="AL39" s="67"/>
      <c r="AM39" s="19"/>
      <c r="AN39" s="67"/>
      <c r="AO39" s="22">
        <v>1.2</v>
      </c>
      <c r="AP39" s="69" t="s">
        <v>84</v>
      </c>
      <c r="AQ39" s="22"/>
      <c r="AR39" s="69"/>
      <c r="AS39" s="22"/>
      <c r="AT39" s="68"/>
      <c r="AU39" s="19"/>
      <c r="AV39" s="67"/>
      <c r="AW39" s="19"/>
      <c r="AX39" s="66"/>
      <c r="AY39" s="19"/>
      <c r="AZ39" s="68"/>
      <c r="BA39" s="19"/>
      <c r="BB39" s="66"/>
      <c r="BC39" s="19">
        <v>0.5</v>
      </c>
      <c r="BD39" s="66" t="s">
        <v>9</v>
      </c>
      <c r="BE39" s="22"/>
      <c r="BF39" s="22"/>
      <c r="BG39" s="22"/>
      <c r="BH39" s="68"/>
      <c r="BI39" s="19"/>
      <c r="BJ39" s="66"/>
      <c r="BK39" s="19"/>
      <c r="BL39" s="66"/>
    </row>
    <row r="40" ht="16.5" spans="1:64">
      <c r="A40" s="25" t="s">
        <v>110</v>
      </c>
      <c r="B40" s="26" t="s">
        <v>80</v>
      </c>
      <c r="C40" s="27" t="s">
        <v>111</v>
      </c>
      <c r="D40" s="18">
        <f t="shared" si="0"/>
        <v>4.9</v>
      </c>
      <c r="E40" s="22"/>
      <c r="F40" s="36"/>
      <c r="G40" s="22">
        <v>1</v>
      </c>
      <c r="H40" s="33" t="s">
        <v>82</v>
      </c>
      <c r="I40" s="22">
        <v>0.5</v>
      </c>
      <c r="J40" s="22" t="s">
        <v>98</v>
      </c>
      <c r="K40" s="22"/>
      <c r="L40" s="22"/>
      <c r="M40" s="22"/>
      <c r="N40" s="22"/>
      <c r="O40" s="22"/>
      <c r="P40" s="22"/>
      <c r="Q40" s="22"/>
      <c r="R40" s="36"/>
      <c r="S40" s="22"/>
      <c r="T40" s="22"/>
      <c r="U40" s="22"/>
      <c r="V40" s="68"/>
      <c r="W40" s="22"/>
      <c r="X40" s="68"/>
      <c r="Y40" s="22"/>
      <c r="Z40" s="68"/>
      <c r="AA40" s="22"/>
      <c r="AB40" s="68"/>
      <c r="AC40" s="22">
        <v>0.5</v>
      </c>
      <c r="AD40" s="69" t="s">
        <v>16</v>
      </c>
      <c r="AE40" s="22">
        <v>1.2</v>
      </c>
      <c r="AF40" s="68" t="s">
        <v>83</v>
      </c>
      <c r="AG40" s="22"/>
      <c r="AH40" s="68"/>
      <c r="AI40" s="22"/>
      <c r="AJ40" s="69"/>
      <c r="AK40" s="22"/>
      <c r="AL40" s="69"/>
      <c r="AM40" s="22"/>
      <c r="AN40" s="69"/>
      <c r="AO40" s="22">
        <v>1.2</v>
      </c>
      <c r="AP40" s="69" t="s">
        <v>84</v>
      </c>
      <c r="AQ40" s="22"/>
      <c r="AR40" s="69"/>
      <c r="AS40" s="22"/>
      <c r="AT40" s="68"/>
      <c r="AU40" s="22"/>
      <c r="AV40" s="69"/>
      <c r="AW40" s="22"/>
      <c r="AX40" s="68"/>
      <c r="AY40" s="22">
        <v>0.5</v>
      </c>
      <c r="AZ40" s="68" t="s">
        <v>85</v>
      </c>
      <c r="BA40" s="22"/>
      <c r="BB40" s="68"/>
      <c r="BC40" s="22"/>
      <c r="BD40" s="68"/>
      <c r="BE40" s="22"/>
      <c r="BF40" s="22"/>
      <c r="BG40" s="22"/>
      <c r="BH40" s="68"/>
      <c r="BI40" s="22"/>
      <c r="BJ40" s="68"/>
      <c r="BK40" s="22"/>
      <c r="BL40" s="68"/>
    </row>
    <row r="41" ht="13.5" customHeight="1" spans="1:64">
      <c r="A41" s="25" t="s">
        <v>112</v>
      </c>
      <c r="B41" s="47" t="s">
        <v>80</v>
      </c>
      <c r="C41" s="48" t="s">
        <v>113</v>
      </c>
      <c r="D41" s="18">
        <f t="shared" si="0"/>
        <v>4.9</v>
      </c>
      <c r="E41" s="39"/>
      <c r="F41" s="40"/>
      <c r="G41" s="22">
        <v>1</v>
      </c>
      <c r="H41" s="33" t="s">
        <v>82</v>
      </c>
      <c r="I41" s="22">
        <v>0.5</v>
      </c>
      <c r="J41" s="22" t="s">
        <v>98</v>
      </c>
      <c r="K41" s="39"/>
      <c r="L41" s="39"/>
      <c r="M41" s="39"/>
      <c r="N41" s="39"/>
      <c r="O41" s="39"/>
      <c r="P41" s="39"/>
      <c r="Q41" s="39"/>
      <c r="R41" s="40"/>
      <c r="S41" s="39"/>
      <c r="T41" s="40"/>
      <c r="U41" s="39"/>
      <c r="V41" s="71"/>
      <c r="W41" s="39"/>
      <c r="X41" s="71"/>
      <c r="Y41" s="39"/>
      <c r="Z41" s="71"/>
      <c r="AA41" s="39"/>
      <c r="AB41" s="71"/>
      <c r="AC41" s="22">
        <v>0.5</v>
      </c>
      <c r="AD41" s="69" t="s">
        <v>16</v>
      </c>
      <c r="AE41" s="22">
        <v>1.2</v>
      </c>
      <c r="AF41" s="68" t="s">
        <v>83</v>
      </c>
      <c r="AG41" s="39"/>
      <c r="AH41" s="39"/>
      <c r="AI41" s="39"/>
      <c r="AJ41" s="74"/>
      <c r="AK41" s="39"/>
      <c r="AL41" s="74"/>
      <c r="AM41" s="39"/>
      <c r="AN41" s="74"/>
      <c r="AO41" s="22">
        <v>1.2</v>
      </c>
      <c r="AP41" s="69" t="s">
        <v>84</v>
      </c>
      <c r="AQ41" s="22"/>
      <c r="AR41" s="69"/>
      <c r="AS41" s="22"/>
      <c r="AT41" s="68"/>
      <c r="AU41" s="39"/>
      <c r="AV41" s="71"/>
      <c r="AW41" s="39"/>
      <c r="AX41" s="71"/>
      <c r="AY41" s="22">
        <v>0.5</v>
      </c>
      <c r="AZ41" s="68" t="s">
        <v>85</v>
      </c>
      <c r="BA41" s="39"/>
      <c r="BB41" s="71"/>
      <c r="BC41" s="39"/>
      <c r="BD41" s="71"/>
      <c r="BE41" s="22"/>
      <c r="BF41" s="22"/>
      <c r="BG41" s="22"/>
      <c r="BH41" s="68"/>
      <c r="BI41" s="39"/>
      <c r="BJ41" s="71"/>
      <c r="BK41" s="39"/>
      <c r="BL41" s="71"/>
    </row>
    <row r="42" ht="22.5" spans="1:64">
      <c r="A42" s="49" t="s">
        <v>114</v>
      </c>
      <c r="B42" s="41" t="s">
        <v>103</v>
      </c>
      <c r="C42" s="50" t="s">
        <v>115</v>
      </c>
      <c r="D42" s="18">
        <f t="shared" si="0"/>
        <v>5.33</v>
      </c>
      <c r="F42" s="43"/>
      <c r="K42" s="7">
        <v>1</v>
      </c>
      <c r="L42" s="7" t="s">
        <v>101</v>
      </c>
      <c r="V42" s="70"/>
      <c r="W42" s="7"/>
      <c r="X42" s="72"/>
      <c r="Y42" s="7">
        <v>1.5</v>
      </c>
      <c r="Z42" s="70" t="s">
        <v>105</v>
      </c>
      <c r="AA42" s="7"/>
      <c r="AB42" s="70"/>
      <c r="AC42" s="7"/>
      <c r="AD42" s="70"/>
      <c r="AE42" s="7"/>
      <c r="AF42" s="70"/>
      <c r="AG42" s="7"/>
      <c r="AH42" s="70"/>
      <c r="AI42" s="7"/>
      <c r="AJ42" s="72"/>
      <c r="AK42" s="7"/>
      <c r="AL42" s="72"/>
      <c r="AM42" s="8">
        <v>2</v>
      </c>
      <c r="AN42" s="80" t="s">
        <v>106</v>
      </c>
      <c r="AQ42" s="7"/>
      <c r="AR42" s="70"/>
      <c r="AS42" s="7"/>
      <c r="AT42" s="70"/>
      <c r="AU42" s="7"/>
      <c r="AV42" s="70"/>
      <c r="AW42" s="7"/>
      <c r="AX42" s="70"/>
      <c r="AY42" s="7">
        <v>0.83</v>
      </c>
      <c r="AZ42" s="70" t="s">
        <v>107</v>
      </c>
      <c r="BA42" s="7"/>
      <c r="BB42" s="70"/>
      <c r="BC42" s="7"/>
      <c r="BD42" s="70"/>
      <c r="BE42" s="22"/>
      <c r="BF42" s="22"/>
      <c r="BG42" s="7"/>
      <c r="BH42" s="70"/>
      <c r="BI42" s="7"/>
      <c r="BJ42" s="70"/>
      <c r="BK42" s="7"/>
      <c r="BL42" s="70"/>
    </row>
    <row r="43" ht="22.5" spans="1:64">
      <c r="A43" s="49" t="s">
        <v>116</v>
      </c>
      <c r="B43" s="41" t="s">
        <v>103</v>
      </c>
      <c r="C43" s="50" t="s">
        <v>117</v>
      </c>
      <c r="D43" s="18">
        <f t="shared" si="0"/>
        <v>5.33</v>
      </c>
      <c r="F43" s="43"/>
      <c r="K43" s="7">
        <v>1</v>
      </c>
      <c r="L43" s="7" t="s">
        <v>101</v>
      </c>
      <c r="V43" s="70"/>
      <c r="W43" s="7"/>
      <c r="X43" s="72"/>
      <c r="Y43" s="7">
        <v>1.5</v>
      </c>
      <c r="Z43" s="70" t="s">
        <v>105</v>
      </c>
      <c r="AA43" s="7"/>
      <c r="AB43" s="70"/>
      <c r="AC43" s="7"/>
      <c r="AD43" s="70"/>
      <c r="AE43" s="7"/>
      <c r="AF43" s="70"/>
      <c r="AG43" s="7"/>
      <c r="AH43" s="70"/>
      <c r="AI43" s="7"/>
      <c r="AJ43" s="72"/>
      <c r="AK43" s="7"/>
      <c r="AL43" s="72"/>
      <c r="AM43" s="8">
        <v>2</v>
      </c>
      <c r="AN43" s="80" t="s">
        <v>106</v>
      </c>
      <c r="AQ43" s="7"/>
      <c r="AR43" s="70"/>
      <c r="AS43" s="7"/>
      <c r="AT43" s="70"/>
      <c r="AU43" s="7"/>
      <c r="AV43" s="70"/>
      <c r="AW43" s="7"/>
      <c r="AX43" s="70"/>
      <c r="AY43" s="7">
        <v>0.83</v>
      </c>
      <c r="AZ43" s="70" t="s">
        <v>107</v>
      </c>
      <c r="BA43" s="7"/>
      <c r="BB43" s="70"/>
      <c r="BC43" s="7"/>
      <c r="BD43" s="70"/>
      <c r="BE43" s="22"/>
      <c r="BF43" s="22"/>
      <c r="BG43" s="7"/>
      <c r="BH43" s="70"/>
      <c r="BI43" s="7"/>
      <c r="BJ43" s="70"/>
      <c r="BK43" s="7"/>
      <c r="BL43" s="70"/>
    </row>
    <row r="44" ht="16.5" spans="1:64">
      <c r="A44" s="51" t="s">
        <v>118</v>
      </c>
      <c r="B44" s="52" t="s">
        <v>119</v>
      </c>
      <c r="C44" s="53" t="s">
        <v>120</v>
      </c>
      <c r="D44" s="18">
        <f t="shared" si="0"/>
        <v>3.5</v>
      </c>
      <c r="E44" s="19"/>
      <c r="F44" s="46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46"/>
      <c r="S44" s="19"/>
      <c r="T44" s="19"/>
      <c r="U44" s="60"/>
      <c r="V44" s="73"/>
      <c r="W44" s="19"/>
      <c r="X44" s="66"/>
      <c r="Y44" s="19"/>
      <c r="Z44" s="66"/>
      <c r="AA44" s="19">
        <v>0.83</v>
      </c>
      <c r="AB44" s="66" t="s">
        <v>121</v>
      </c>
      <c r="AC44" s="77"/>
      <c r="AD44" s="77"/>
      <c r="AE44" s="19"/>
      <c r="AF44" s="66"/>
      <c r="AG44" s="19"/>
      <c r="AH44" s="66"/>
      <c r="AI44" s="19"/>
      <c r="AJ44" s="67"/>
      <c r="AK44" s="19"/>
      <c r="AL44" s="19"/>
      <c r="AM44" s="19">
        <v>1</v>
      </c>
      <c r="AN44" s="67" t="s">
        <v>40</v>
      </c>
      <c r="AO44" s="19">
        <v>0.67</v>
      </c>
      <c r="AP44" s="66" t="s">
        <v>122</v>
      </c>
      <c r="AQ44" s="19"/>
      <c r="AR44" s="66"/>
      <c r="AS44" s="19"/>
      <c r="AT44" s="66"/>
      <c r="AU44" s="19">
        <v>0.5</v>
      </c>
      <c r="AV44" s="66" t="s">
        <v>9</v>
      </c>
      <c r="AW44" s="19"/>
      <c r="AX44" s="66"/>
      <c r="AY44" s="19"/>
      <c r="AZ44" s="66"/>
      <c r="BA44" s="19"/>
      <c r="BB44" s="66"/>
      <c r="BC44" s="19">
        <v>0.5</v>
      </c>
      <c r="BD44" s="66" t="s">
        <v>123</v>
      </c>
      <c r="BE44" s="19"/>
      <c r="BF44" s="66"/>
      <c r="BG44" s="19"/>
      <c r="BH44" s="66"/>
      <c r="BI44" s="19"/>
      <c r="BJ44" s="66"/>
      <c r="BK44" s="19"/>
      <c r="BL44" s="66"/>
    </row>
    <row r="45" ht="16.5" spans="1:64">
      <c r="A45" s="51" t="s">
        <v>124</v>
      </c>
      <c r="B45" s="54" t="s">
        <v>119</v>
      </c>
      <c r="C45" s="55" t="s">
        <v>125</v>
      </c>
      <c r="D45" s="18">
        <f t="shared" si="0"/>
        <v>2.67</v>
      </c>
      <c r="E45" s="22"/>
      <c r="F45" s="36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36"/>
      <c r="S45" s="22"/>
      <c r="T45" s="22"/>
      <c r="U45" s="22"/>
      <c r="V45" s="68"/>
      <c r="W45" s="22"/>
      <c r="X45" s="68"/>
      <c r="Y45" s="22"/>
      <c r="Z45" s="68"/>
      <c r="AA45" s="19"/>
      <c r="AB45" s="66"/>
      <c r="AC45" s="76"/>
      <c r="AD45" s="76"/>
      <c r="AE45" s="22"/>
      <c r="AF45" s="68"/>
      <c r="AG45" s="22"/>
      <c r="AH45" s="68"/>
      <c r="AI45" s="22"/>
      <c r="AJ45" s="69"/>
      <c r="AK45" s="22"/>
      <c r="AL45" s="22"/>
      <c r="AM45" s="19">
        <v>1</v>
      </c>
      <c r="AN45" s="67" t="s">
        <v>40</v>
      </c>
      <c r="AO45" s="19">
        <v>0.67</v>
      </c>
      <c r="AP45" s="66" t="s">
        <v>122</v>
      </c>
      <c r="AQ45" s="22"/>
      <c r="AR45" s="68"/>
      <c r="AS45" s="22"/>
      <c r="AT45" s="68"/>
      <c r="AU45" s="19">
        <v>0.5</v>
      </c>
      <c r="AV45" s="66" t="s">
        <v>9</v>
      </c>
      <c r="AW45" s="22"/>
      <c r="AX45" s="68"/>
      <c r="AY45" s="19"/>
      <c r="AZ45" s="66"/>
      <c r="BA45" s="22"/>
      <c r="BB45" s="68"/>
      <c r="BC45" s="19">
        <v>0.5</v>
      </c>
      <c r="BD45" s="66" t="s">
        <v>123</v>
      </c>
      <c r="BE45" s="22"/>
      <c r="BF45" s="68"/>
      <c r="BG45" s="22"/>
      <c r="BH45" s="68"/>
      <c r="BI45" s="22"/>
      <c r="BJ45" s="68"/>
      <c r="BK45" s="22"/>
      <c r="BL45" s="68"/>
    </row>
    <row r="46" ht="16.5" spans="1:64">
      <c r="A46" s="51" t="s">
        <v>126</v>
      </c>
      <c r="B46" s="54" t="s">
        <v>119</v>
      </c>
      <c r="C46" s="55" t="s">
        <v>127</v>
      </c>
      <c r="D46" s="18">
        <f t="shared" si="0"/>
        <v>3.5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36"/>
      <c r="S46" s="22"/>
      <c r="T46" s="22"/>
      <c r="U46" s="22"/>
      <c r="V46" s="22"/>
      <c r="W46" s="22"/>
      <c r="X46" s="22"/>
      <c r="Y46" s="22"/>
      <c r="Z46" s="22"/>
      <c r="AA46" s="19">
        <v>0.83</v>
      </c>
      <c r="AB46" s="66" t="s">
        <v>121</v>
      </c>
      <c r="AC46" s="22"/>
      <c r="AD46" s="68"/>
      <c r="AE46" s="22"/>
      <c r="AF46" s="69"/>
      <c r="AG46" s="22"/>
      <c r="AH46" s="36"/>
      <c r="AI46" s="22"/>
      <c r="AJ46" s="68"/>
      <c r="AK46" s="22"/>
      <c r="AL46" s="22"/>
      <c r="AM46" s="19">
        <v>1</v>
      </c>
      <c r="AN46" s="67" t="s">
        <v>40</v>
      </c>
      <c r="AO46" s="19">
        <v>0.67</v>
      </c>
      <c r="AP46" s="66" t="s">
        <v>122</v>
      </c>
      <c r="AQ46" s="22"/>
      <c r="AR46" s="69"/>
      <c r="AS46" s="22"/>
      <c r="AT46" s="68"/>
      <c r="AU46" s="19">
        <v>0.5</v>
      </c>
      <c r="AV46" s="66" t="s">
        <v>9</v>
      </c>
      <c r="AW46" s="22"/>
      <c r="AX46" s="69"/>
      <c r="AY46" s="19"/>
      <c r="AZ46" s="66"/>
      <c r="BA46" s="22"/>
      <c r="BB46" s="68"/>
      <c r="BC46" s="19">
        <v>0.5</v>
      </c>
      <c r="BD46" s="66" t="s">
        <v>123</v>
      </c>
      <c r="BE46" s="22"/>
      <c r="BF46" s="68"/>
      <c r="BG46" s="22"/>
      <c r="BH46" s="68"/>
      <c r="BI46" s="22"/>
      <c r="BJ46" s="68"/>
      <c r="BK46" s="22"/>
      <c r="BL46" s="68"/>
    </row>
    <row r="47" ht="16.5" spans="1:64">
      <c r="A47" s="51" t="s">
        <v>128</v>
      </c>
      <c r="B47" s="54" t="s">
        <v>119</v>
      </c>
      <c r="C47" s="55" t="s">
        <v>129</v>
      </c>
      <c r="D47" s="18">
        <f t="shared" si="0"/>
        <v>3.5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36"/>
      <c r="S47" s="22"/>
      <c r="T47" s="22"/>
      <c r="V47" s="70"/>
      <c r="W47" s="22"/>
      <c r="X47" s="22"/>
      <c r="Y47" s="22"/>
      <c r="Z47" s="22"/>
      <c r="AA47" s="19">
        <v>0.83</v>
      </c>
      <c r="AB47" s="66" t="s">
        <v>121</v>
      </c>
      <c r="AC47" s="22"/>
      <c r="AD47" s="68"/>
      <c r="AE47" s="22"/>
      <c r="AF47" s="69"/>
      <c r="AG47" s="22"/>
      <c r="AH47" s="36"/>
      <c r="AI47" s="22"/>
      <c r="AJ47" s="68"/>
      <c r="AK47" s="22"/>
      <c r="AL47" s="22"/>
      <c r="AM47" s="19">
        <v>1</v>
      </c>
      <c r="AN47" s="67" t="s">
        <v>40</v>
      </c>
      <c r="AO47" s="19">
        <v>0.67</v>
      </c>
      <c r="AP47" s="66" t="s">
        <v>122</v>
      </c>
      <c r="AQ47" s="22"/>
      <c r="AR47" s="69"/>
      <c r="AS47" s="22"/>
      <c r="AT47" s="68"/>
      <c r="AU47" s="19">
        <v>0.5</v>
      </c>
      <c r="AV47" s="66" t="s">
        <v>9</v>
      </c>
      <c r="AW47" s="22"/>
      <c r="AX47" s="69"/>
      <c r="AY47" s="19"/>
      <c r="AZ47" s="66"/>
      <c r="BA47" s="22"/>
      <c r="BB47" s="68"/>
      <c r="BC47" s="19">
        <v>0.5</v>
      </c>
      <c r="BD47" s="66" t="s">
        <v>123</v>
      </c>
      <c r="BE47" s="22"/>
      <c r="BF47" s="68"/>
      <c r="BG47" s="22"/>
      <c r="BH47" s="68"/>
      <c r="BI47" s="22"/>
      <c r="BJ47" s="68"/>
      <c r="BK47" s="22"/>
      <c r="BL47" s="68"/>
    </row>
    <row r="48" ht="16.5" customHeight="1" spans="1:64">
      <c r="A48" s="51" t="s">
        <v>130</v>
      </c>
      <c r="B48" s="54" t="s">
        <v>119</v>
      </c>
      <c r="C48" s="55" t="s">
        <v>131</v>
      </c>
      <c r="D48" s="18">
        <f t="shared" si="0"/>
        <v>3.5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36"/>
      <c r="S48" s="22"/>
      <c r="T48" s="22"/>
      <c r="U48" s="22"/>
      <c r="V48" s="22"/>
      <c r="W48" s="22"/>
      <c r="X48" s="22"/>
      <c r="Y48" s="22"/>
      <c r="Z48" s="22"/>
      <c r="AA48" s="19">
        <v>0.83</v>
      </c>
      <c r="AB48" s="66" t="s">
        <v>121</v>
      </c>
      <c r="AC48" s="22"/>
      <c r="AD48" s="68"/>
      <c r="AE48" s="22"/>
      <c r="AF48" s="69"/>
      <c r="AG48" s="22"/>
      <c r="AH48" s="36"/>
      <c r="AI48" s="22"/>
      <c r="AJ48" s="68"/>
      <c r="AK48" s="22"/>
      <c r="AL48" s="22"/>
      <c r="AM48" s="19">
        <v>1</v>
      </c>
      <c r="AN48" s="67" t="s">
        <v>40</v>
      </c>
      <c r="AO48" s="19">
        <v>0.67</v>
      </c>
      <c r="AP48" s="66" t="s">
        <v>122</v>
      </c>
      <c r="AQ48" s="22"/>
      <c r="AR48" s="69"/>
      <c r="AS48" s="22"/>
      <c r="AT48" s="68"/>
      <c r="AU48" s="19">
        <v>0.5</v>
      </c>
      <c r="AV48" s="66" t="s">
        <v>9</v>
      </c>
      <c r="AW48" s="22"/>
      <c r="AX48" s="69"/>
      <c r="AY48" s="19"/>
      <c r="AZ48" s="66"/>
      <c r="BA48" s="22"/>
      <c r="BB48" s="68"/>
      <c r="BC48" s="19">
        <v>0.5</v>
      </c>
      <c r="BD48" s="66" t="s">
        <v>123</v>
      </c>
      <c r="BE48" s="22"/>
      <c r="BF48" s="68"/>
      <c r="BG48" s="22"/>
      <c r="BH48" s="68"/>
      <c r="BI48" s="22"/>
      <c r="BJ48" s="68"/>
      <c r="BK48" s="22"/>
      <c r="BL48" s="68"/>
    </row>
    <row r="49" ht="16.5" spans="1:64">
      <c r="A49" s="51" t="s">
        <v>132</v>
      </c>
      <c r="B49" s="54" t="s">
        <v>119</v>
      </c>
      <c r="C49" s="55" t="s">
        <v>133</v>
      </c>
      <c r="D49" s="18">
        <f t="shared" si="0"/>
        <v>3.5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36"/>
      <c r="S49" s="22"/>
      <c r="T49" s="22"/>
      <c r="U49" s="22"/>
      <c r="V49" s="22"/>
      <c r="W49" s="22"/>
      <c r="X49" s="22"/>
      <c r="Y49" s="22"/>
      <c r="Z49" s="22"/>
      <c r="AA49" s="19">
        <v>0.83</v>
      </c>
      <c r="AB49" s="66" t="s">
        <v>121</v>
      </c>
      <c r="AC49" s="22"/>
      <c r="AD49" s="68"/>
      <c r="AE49" s="22"/>
      <c r="AF49" s="69"/>
      <c r="AG49" s="22"/>
      <c r="AH49" s="36"/>
      <c r="AI49" s="22"/>
      <c r="AJ49" s="68"/>
      <c r="AK49" s="22"/>
      <c r="AL49" s="22"/>
      <c r="AM49" s="19">
        <v>1</v>
      </c>
      <c r="AN49" s="67" t="s">
        <v>40</v>
      </c>
      <c r="AO49" s="19">
        <v>0.67</v>
      </c>
      <c r="AP49" s="66" t="s">
        <v>122</v>
      </c>
      <c r="AQ49" s="22"/>
      <c r="AR49" s="69"/>
      <c r="AS49" s="22"/>
      <c r="AT49" s="68"/>
      <c r="AU49" s="19">
        <v>0.5</v>
      </c>
      <c r="AV49" s="66" t="s">
        <v>9</v>
      </c>
      <c r="AW49" s="22"/>
      <c r="AX49" s="69"/>
      <c r="AY49" s="19"/>
      <c r="AZ49" s="66"/>
      <c r="BA49" s="22"/>
      <c r="BB49" s="68"/>
      <c r="BC49" s="19">
        <v>0.5</v>
      </c>
      <c r="BD49" s="66" t="s">
        <v>123</v>
      </c>
      <c r="BE49" s="22"/>
      <c r="BF49" s="68"/>
      <c r="BG49" s="22"/>
      <c r="BH49" s="68"/>
      <c r="BI49" s="22"/>
      <c r="BJ49" s="68"/>
      <c r="BK49" s="22"/>
      <c r="BL49" s="68"/>
    </row>
    <row r="50" ht="16.5" spans="1:64">
      <c r="A50" s="28" t="s">
        <v>134</v>
      </c>
      <c r="B50" s="31" t="s">
        <v>119</v>
      </c>
      <c r="C50" s="28" t="s">
        <v>135</v>
      </c>
      <c r="D50" s="18">
        <f t="shared" si="0"/>
        <v>3.5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36"/>
      <c r="S50" s="22"/>
      <c r="T50" s="22"/>
      <c r="U50" s="22"/>
      <c r="V50" s="22"/>
      <c r="W50" s="22"/>
      <c r="X50" s="22"/>
      <c r="Y50" s="22"/>
      <c r="Z50" s="22"/>
      <c r="AA50" s="19">
        <v>0.83</v>
      </c>
      <c r="AB50" s="66" t="s">
        <v>121</v>
      </c>
      <c r="AC50" s="22"/>
      <c r="AD50" s="68"/>
      <c r="AE50" s="22"/>
      <c r="AF50" s="69"/>
      <c r="AG50" s="22"/>
      <c r="AH50" s="36"/>
      <c r="AI50" s="22"/>
      <c r="AJ50" s="68"/>
      <c r="AK50" s="22"/>
      <c r="AL50" s="22"/>
      <c r="AM50" s="19">
        <v>1</v>
      </c>
      <c r="AN50" s="67" t="s">
        <v>40</v>
      </c>
      <c r="AO50" s="19">
        <v>0.67</v>
      </c>
      <c r="AP50" s="66" t="s">
        <v>122</v>
      </c>
      <c r="AQ50" s="22"/>
      <c r="AR50" s="69"/>
      <c r="AS50" s="22"/>
      <c r="AT50" s="68"/>
      <c r="AU50" s="19">
        <v>0.5</v>
      </c>
      <c r="AV50" s="66" t="s">
        <v>9</v>
      </c>
      <c r="AW50" s="22"/>
      <c r="AX50" s="68"/>
      <c r="AY50" s="19"/>
      <c r="AZ50" s="66"/>
      <c r="BA50" s="22"/>
      <c r="BB50" s="68"/>
      <c r="BC50" s="19">
        <v>0.5</v>
      </c>
      <c r="BD50" s="66" t="s">
        <v>123</v>
      </c>
      <c r="BE50" s="22"/>
      <c r="BF50" s="68"/>
      <c r="BG50" s="22"/>
      <c r="BH50" s="68"/>
      <c r="BI50" s="22"/>
      <c r="BJ50" s="68"/>
      <c r="BK50" s="22"/>
      <c r="BL50" s="68"/>
    </row>
    <row r="51" ht="16.5" spans="1:64">
      <c r="A51" s="28" t="s">
        <v>136</v>
      </c>
      <c r="B51" s="31" t="s">
        <v>119</v>
      </c>
      <c r="C51" s="28" t="s">
        <v>137</v>
      </c>
      <c r="D51" s="18">
        <f t="shared" si="0"/>
        <v>3.5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36"/>
      <c r="S51" s="22"/>
      <c r="T51" s="22"/>
      <c r="U51" s="22"/>
      <c r="V51" s="22"/>
      <c r="W51" s="22"/>
      <c r="X51" s="22"/>
      <c r="Y51" s="22"/>
      <c r="Z51" s="22"/>
      <c r="AA51" s="19">
        <v>0.83</v>
      </c>
      <c r="AB51" s="66" t="s">
        <v>121</v>
      </c>
      <c r="AC51" s="22"/>
      <c r="AD51" s="68"/>
      <c r="AE51" s="22"/>
      <c r="AF51" s="69"/>
      <c r="AG51" s="22"/>
      <c r="AH51" s="36"/>
      <c r="AI51" s="22"/>
      <c r="AJ51" s="68"/>
      <c r="AK51" s="22"/>
      <c r="AL51" s="22"/>
      <c r="AM51" s="19">
        <v>1</v>
      </c>
      <c r="AN51" s="67" t="s">
        <v>40</v>
      </c>
      <c r="AO51" s="19">
        <v>0.67</v>
      </c>
      <c r="AP51" s="66" t="s">
        <v>122</v>
      </c>
      <c r="AQ51" s="22"/>
      <c r="AR51" s="69"/>
      <c r="AS51" s="22"/>
      <c r="AT51" s="68"/>
      <c r="AU51" s="19">
        <v>0.5</v>
      </c>
      <c r="AV51" s="66" t="s">
        <v>9</v>
      </c>
      <c r="AW51" s="22"/>
      <c r="AX51" s="69"/>
      <c r="AY51" s="19"/>
      <c r="AZ51" s="66"/>
      <c r="BA51" s="22"/>
      <c r="BB51" s="68"/>
      <c r="BC51" s="19">
        <v>0.5</v>
      </c>
      <c r="BD51" s="66" t="s">
        <v>123</v>
      </c>
      <c r="BE51" s="22"/>
      <c r="BF51" s="68"/>
      <c r="BG51" s="22"/>
      <c r="BH51" s="68"/>
      <c r="BI51" s="22"/>
      <c r="BJ51" s="68"/>
      <c r="BK51" s="22"/>
      <c r="BL51" s="68"/>
    </row>
    <row r="52" ht="16.5" spans="1:64">
      <c r="A52" s="28" t="s">
        <v>138</v>
      </c>
      <c r="B52" s="31" t="s">
        <v>119</v>
      </c>
      <c r="C52" s="28" t="s">
        <v>139</v>
      </c>
      <c r="D52" s="18">
        <f t="shared" si="0"/>
        <v>3.5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36"/>
      <c r="S52" s="22"/>
      <c r="T52" s="22"/>
      <c r="U52" s="22"/>
      <c r="V52" s="22"/>
      <c r="W52" s="22"/>
      <c r="X52" s="22"/>
      <c r="Y52" s="22"/>
      <c r="Z52" s="22"/>
      <c r="AA52" s="19">
        <v>0.83</v>
      </c>
      <c r="AB52" s="66" t="s">
        <v>121</v>
      </c>
      <c r="AC52" s="22"/>
      <c r="AD52" s="68"/>
      <c r="AE52" s="22"/>
      <c r="AF52" s="69"/>
      <c r="AG52" s="22"/>
      <c r="AH52" s="36"/>
      <c r="AI52" s="22"/>
      <c r="AJ52" s="68"/>
      <c r="AK52" s="22"/>
      <c r="AL52" s="22"/>
      <c r="AM52" s="19">
        <v>1</v>
      </c>
      <c r="AN52" s="67" t="s">
        <v>40</v>
      </c>
      <c r="AO52" s="19">
        <v>0.67</v>
      </c>
      <c r="AP52" s="66" t="s">
        <v>122</v>
      </c>
      <c r="AQ52" s="22"/>
      <c r="AR52" s="69"/>
      <c r="AS52" s="22"/>
      <c r="AT52" s="68"/>
      <c r="AU52" s="19">
        <v>0.5</v>
      </c>
      <c r="AV52" s="66" t="s">
        <v>9</v>
      </c>
      <c r="AW52" s="22"/>
      <c r="AX52" s="69"/>
      <c r="AY52" s="19"/>
      <c r="AZ52" s="66"/>
      <c r="BA52" s="22"/>
      <c r="BB52" s="68"/>
      <c r="BC52" s="19">
        <v>0.5</v>
      </c>
      <c r="BD52" s="66" t="s">
        <v>123</v>
      </c>
      <c r="BE52" s="22"/>
      <c r="BF52" s="68"/>
      <c r="BG52" s="22"/>
      <c r="BH52" s="68"/>
      <c r="BI52" s="22"/>
      <c r="BJ52" s="68"/>
      <c r="BK52" s="22"/>
      <c r="BL52" s="68"/>
    </row>
    <row r="53" ht="16.5" spans="1:64">
      <c r="A53" s="25" t="s">
        <v>140</v>
      </c>
      <c r="B53" s="26" t="s">
        <v>119</v>
      </c>
      <c r="C53" s="25" t="s">
        <v>141</v>
      </c>
      <c r="D53" s="18">
        <f t="shared" si="0"/>
        <v>3.5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36"/>
      <c r="S53" s="22"/>
      <c r="T53" s="22"/>
      <c r="U53" s="22"/>
      <c r="V53" s="22"/>
      <c r="W53" s="22"/>
      <c r="X53" s="22"/>
      <c r="Y53" s="22"/>
      <c r="Z53" s="22"/>
      <c r="AA53" s="19">
        <v>0.83</v>
      </c>
      <c r="AB53" s="66" t="s">
        <v>121</v>
      </c>
      <c r="AC53" s="22"/>
      <c r="AD53" s="68"/>
      <c r="AE53" s="22"/>
      <c r="AF53" s="69"/>
      <c r="AG53" s="22"/>
      <c r="AH53" s="36"/>
      <c r="AI53" s="22"/>
      <c r="AJ53" s="68"/>
      <c r="AK53" s="22"/>
      <c r="AL53" s="22"/>
      <c r="AM53" s="19">
        <v>1</v>
      </c>
      <c r="AN53" s="67" t="s">
        <v>40</v>
      </c>
      <c r="AO53" s="19">
        <v>0.67</v>
      </c>
      <c r="AP53" s="66" t="s">
        <v>122</v>
      </c>
      <c r="AQ53" s="22"/>
      <c r="AR53" s="68"/>
      <c r="AS53" s="22"/>
      <c r="AT53" s="68"/>
      <c r="AU53" s="19">
        <v>0.5</v>
      </c>
      <c r="AV53" s="66" t="s">
        <v>9</v>
      </c>
      <c r="AW53" s="22"/>
      <c r="AX53" s="69"/>
      <c r="AY53" s="19"/>
      <c r="AZ53" s="66"/>
      <c r="BA53" s="22"/>
      <c r="BB53" s="68"/>
      <c r="BC53" s="19">
        <v>0.5</v>
      </c>
      <c r="BD53" s="66" t="s">
        <v>123</v>
      </c>
      <c r="BE53" s="22"/>
      <c r="BF53" s="68"/>
      <c r="BG53" s="22"/>
      <c r="BH53" s="68"/>
      <c r="BI53" s="22"/>
      <c r="BJ53" s="68"/>
      <c r="BK53" s="22"/>
      <c r="BL53" s="68"/>
    </row>
    <row r="54" ht="16.5" spans="1:64">
      <c r="A54" s="25" t="s">
        <v>142</v>
      </c>
      <c r="B54" s="26" t="s">
        <v>119</v>
      </c>
      <c r="C54" s="25" t="s">
        <v>143</v>
      </c>
      <c r="D54" s="18">
        <f t="shared" si="0"/>
        <v>3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36"/>
      <c r="S54" s="22"/>
      <c r="T54" s="22"/>
      <c r="U54" s="22"/>
      <c r="V54" s="22"/>
      <c r="W54" s="22"/>
      <c r="X54" s="22"/>
      <c r="Y54" s="22"/>
      <c r="Z54" s="22"/>
      <c r="AA54" s="19">
        <v>0.83</v>
      </c>
      <c r="AB54" s="66" t="s">
        <v>121</v>
      </c>
      <c r="AC54" s="22"/>
      <c r="AD54" s="68"/>
      <c r="AE54" s="22"/>
      <c r="AF54" s="69"/>
      <c r="AG54" s="22"/>
      <c r="AH54" s="36"/>
      <c r="AI54" s="22"/>
      <c r="AJ54" s="68"/>
      <c r="AK54" s="22"/>
      <c r="AL54" s="68"/>
      <c r="AM54" s="19">
        <v>1</v>
      </c>
      <c r="AN54" s="67" t="s">
        <v>40</v>
      </c>
      <c r="AO54" s="19">
        <v>0.67</v>
      </c>
      <c r="AP54" s="66" t="s">
        <v>122</v>
      </c>
      <c r="AQ54" s="22"/>
      <c r="AR54" s="69"/>
      <c r="AS54" s="22"/>
      <c r="AT54" s="68"/>
      <c r="AU54" s="19">
        <v>0.5</v>
      </c>
      <c r="AV54" s="66" t="s">
        <v>9</v>
      </c>
      <c r="AW54" s="22"/>
      <c r="AX54" s="69"/>
      <c r="AY54" s="19"/>
      <c r="AZ54" s="66"/>
      <c r="BA54" s="22"/>
      <c r="BB54" s="68"/>
      <c r="BC54" s="22"/>
      <c r="BD54" s="68"/>
      <c r="BE54" s="22"/>
      <c r="BF54" s="68"/>
      <c r="BG54" s="22"/>
      <c r="BH54" s="68"/>
      <c r="BI54" s="22"/>
      <c r="BJ54" s="68"/>
      <c r="BK54" s="22"/>
      <c r="BL54" s="68"/>
    </row>
    <row r="55" ht="16.5" spans="1:64">
      <c r="A55" s="25" t="s">
        <v>144</v>
      </c>
      <c r="B55" s="26" t="s">
        <v>119</v>
      </c>
      <c r="C55" s="25" t="s">
        <v>145</v>
      </c>
      <c r="D55" s="18">
        <f t="shared" si="0"/>
        <v>4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36"/>
      <c r="S55" s="22"/>
      <c r="T55" s="22"/>
      <c r="U55" s="22"/>
      <c r="V55" s="22"/>
      <c r="W55" s="22"/>
      <c r="X55" s="22"/>
      <c r="Y55" s="22"/>
      <c r="Z55" s="22"/>
      <c r="AA55" s="19">
        <v>0.83</v>
      </c>
      <c r="AB55" s="66" t="s">
        <v>121</v>
      </c>
      <c r="AC55" s="22"/>
      <c r="AD55" s="68"/>
      <c r="AE55" s="22"/>
      <c r="AF55" s="69"/>
      <c r="AG55" s="22"/>
      <c r="AH55" s="36"/>
      <c r="AI55" s="22"/>
      <c r="AJ55" s="68"/>
      <c r="AK55" s="22"/>
      <c r="AL55" s="68"/>
      <c r="AM55" s="19">
        <v>1</v>
      </c>
      <c r="AN55" s="67" t="s">
        <v>40</v>
      </c>
      <c r="AO55" s="19">
        <v>0.67</v>
      </c>
      <c r="AP55" s="66" t="s">
        <v>122</v>
      </c>
      <c r="AQ55" s="22"/>
      <c r="AR55" s="69"/>
      <c r="AS55" s="22"/>
      <c r="AT55" s="68"/>
      <c r="AU55" s="19">
        <v>0.5</v>
      </c>
      <c r="AV55" s="66" t="s">
        <v>9</v>
      </c>
      <c r="AW55" s="22"/>
      <c r="AX55" s="69"/>
      <c r="AY55" s="1">
        <v>0.5</v>
      </c>
      <c r="AZ55" s="1" t="s">
        <v>10</v>
      </c>
      <c r="BA55" s="22"/>
      <c r="BB55" s="68"/>
      <c r="BC55" s="19">
        <v>0.5</v>
      </c>
      <c r="BD55" s="66" t="s">
        <v>123</v>
      </c>
      <c r="BE55" s="22"/>
      <c r="BF55" s="68"/>
      <c r="BG55" s="22"/>
      <c r="BH55" s="68"/>
      <c r="BI55" s="22"/>
      <c r="BJ55" s="68"/>
      <c r="BK55" s="22"/>
      <c r="BL55" s="68"/>
    </row>
    <row r="56" ht="16.5" spans="1:64">
      <c r="A56" s="25" t="s">
        <v>146</v>
      </c>
      <c r="B56" s="26" t="s">
        <v>119</v>
      </c>
      <c r="C56" s="25" t="s">
        <v>147</v>
      </c>
      <c r="D56" s="18">
        <f t="shared" si="0"/>
        <v>3.5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36"/>
      <c r="S56" s="22"/>
      <c r="T56" s="22"/>
      <c r="U56" s="22"/>
      <c r="V56" s="22"/>
      <c r="W56" s="22"/>
      <c r="X56" s="22"/>
      <c r="Y56" s="22"/>
      <c r="Z56" s="22"/>
      <c r="AA56" s="19">
        <v>0.83</v>
      </c>
      <c r="AB56" s="66" t="s">
        <v>121</v>
      </c>
      <c r="AC56" s="22"/>
      <c r="AD56" s="68"/>
      <c r="AE56" s="22"/>
      <c r="AF56" s="69"/>
      <c r="AG56" s="22"/>
      <c r="AH56" s="36"/>
      <c r="AI56" s="22"/>
      <c r="AJ56" s="68"/>
      <c r="AK56" s="22"/>
      <c r="AL56" s="22"/>
      <c r="AM56" s="19">
        <v>1</v>
      </c>
      <c r="AN56" s="67" t="s">
        <v>40</v>
      </c>
      <c r="AO56" s="19">
        <v>0.67</v>
      </c>
      <c r="AP56" s="66" t="s">
        <v>122</v>
      </c>
      <c r="AQ56" s="22"/>
      <c r="AR56" s="69"/>
      <c r="AS56" s="22"/>
      <c r="AT56" s="68"/>
      <c r="AU56" s="19">
        <v>0.5</v>
      </c>
      <c r="AV56" s="66" t="s">
        <v>9</v>
      </c>
      <c r="AW56" s="22"/>
      <c r="AX56" s="69"/>
      <c r="AY56" s="19"/>
      <c r="AZ56" s="66"/>
      <c r="BA56" s="22"/>
      <c r="BB56" s="68"/>
      <c r="BC56" s="19">
        <v>0.5</v>
      </c>
      <c r="BD56" s="66" t="s">
        <v>123</v>
      </c>
      <c r="BE56" s="22"/>
      <c r="BF56" s="68"/>
      <c r="BG56" s="22"/>
      <c r="BH56" s="68"/>
      <c r="BI56" s="22"/>
      <c r="BJ56" s="68"/>
      <c r="BK56" s="22"/>
      <c r="BL56" s="68"/>
    </row>
    <row r="57" ht="16.5" spans="1:64">
      <c r="A57" s="25" t="s">
        <v>148</v>
      </c>
      <c r="B57" s="47" t="s">
        <v>119</v>
      </c>
      <c r="C57" s="48" t="s">
        <v>149</v>
      </c>
      <c r="D57" s="18">
        <f t="shared" si="0"/>
        <v>3.5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40"/>
      <c r="S57" s="39"/>
      <c r="T57" s="39"/>
      <c r="U57" s="39"/>
      <c r="V57" s="39"/>
      <c r="W57" s="39"/>
      <c r="X57" s="74"/>
      <c r="Y57" s="39"/>
      <c r="Z57" s="39"/>
      <c r="AA57" s="19">
        <v>0.83</v>
      </c>
      <c r="AB57" s="66" t="s">
        <v>121</v>
      </c>
      <c r="AC57" s="39"/>
      <c r="AD57" s="71"/>
      <c r="AE57" s="39"/>
      <c r="AF57" s="74"/>
      <c r="AG57" s="39"/>
      <c r="AH57" s="40"/>
      <c r="AI57" s="39"/>
      <c r="AJ57" s="71"/>
      <c r="AK57" s="39"/>
      <c r="AL57" s="39"/>
      <c r="AM57" s="19">
        <v>1</v>
      </c>
      <c r="AN57" s="67" t="s">
        <v>40</v>
      </c>
      <c r="AO57" s="19">
        <v>0.67</v>
      </c>
      <c r="AP57" s="66" t="s">
        <v>122</v>
      </c>
      <c r="AQ57" s="39"/>
      <c r="AR57" s="74"/>
      <c r="AS57" s="39"/>
      <c r="AT57" s="71"/>
      <c r="AU57" s="19">
        <v>0.5</v>
      </c>
      <c r="AV57" s="66" t="s">
        <v>9</v>
      </c>
      <c r="AW57" s="39"/>
      <c r="AX57" s="74"/>
      <c r="AY57" s="85"/>
      <c r="AZ57" s="86"/>
      <c r="BA57" s="39"/>
      <c r="BB57" s="71"/>
      <c r="BC57" s="19">
        <v>0.5</v>
      </c>
      <c r="BD57" s="66" t="s">
        <v>123</v>
      </c>
      <c r="BE57" s="39"/>
      <c r="BF57" s="71"/>
      <c r="BG57" s="39"/>
      <c r="BH57" s="71"/>
      <c r="BI57" s="39"/>
      <c r="BJ57" s="71"/>
      <c r="BK57" s="39"/>
      <c r="BL57" s="71"/>
    </row>
    <row r="58" s="1" customFormat="1" ht="16.5" spans="1:52">
      <c r="A58" s="4" t="s">
        <v>150</v>
      </c>
      <c r="B58" s="56" t="s">
        <v>151</v>
      </c>
      <c r="C58" s="4" t="s">
        <v>152</v>
      </c>
      <c r="D58" s="18">
        <f t="shared" si="0"/>
        <v>3.45</v>
      </c>
      <c r="E58" s="57"/>
      <c r="F58" s="57"/>
      <c r="G58" s="57"/>
      <c r="H58" s="57"/>
      <c r="I58" s="57"/>
      <c r="J58" s="61"/>
      <c r="K58" s="57"/>
      <c r="L58" s="62"/>
      <c r="M58" s="57">
        <v>0.75</v>
      </c>
      <c r="N58" s="62" t="s">
        <v>153</v>
      </c>
      <c r="O58" s="57"/>
      <c r="P58" s="57"/>
      <c r="Q58" s="57"/>
      <c r="R58" s="57"/>
      <c r="S58" s="57"/>
      <c r="T58" s="57"/>
      <c r="U58" s="57"/>
      <c r="V58" s="75"/>
      <c r="W58" s="57"/>
      <c r="X58" s="75"/>
      <c r="Y58" s="57"/>
      <c r="Z58" s="78"/>
      <c r="AC58" s="22">
        <v>1.2</v>
      </c>
      <c r="AD58" s="68" t="s">
        <v>154</v>
      </c>
      <c r="AE58" s="57"/>
      <c r="AF58" s="75"/>
      <c r="AQ58" s="1">
        <v>1</v>
      </c>
      <c r="AR58" s="1" t="s">
        <v>40</v>
      </c>
      <c r="AU58" s="57"/>
      <c r="AV58" s="57"/>
      <c r="AY58" s="1">
        <v>0.5</v>
      </c>
      <c r="AZ58" s="1" t="s">
        <v>10</v>
      </c>
    </row>
    <row r="59" s="2" customFormat="1" ht="16.5" spans="1:48">
      <c r="A59" s="23" t="s">
        <v>155</v>
      </c>
      <c r="B59" s="58" t="s">
        <v>156</v>
      </c>
      <c r="C59" s="59" t="s">
        <v>157</v>
      </c>
      <c r="D59" s="18">
        <f t="shared" si="0"/>
        <v>2</v>
      </c>
      <c r="E59" s="60"/>
      <c r="F59" s="60"/>
      <c r="G59" s="60"/>
      <c r="H59" s="60"/>
      <c r="I59" s="19"/>
      <c r="J59" s="63"/>
      <c r="K59" s="60"/>
      <c r="L59" s="64"/>
      <c r="M59" s="19"/>
      <c r="N59" s="46"/>
      <c r="O59" s="60"/>
      <c r="P59" s="60"/>
      <c r="Q59" s="60"/>
      <c r="R59" s="60"/>
      <c r="S59" s="60"/>
      <c r="T59" s="60"/>
      <c r="U59" s="60"/>
      <c r="V59" s="73"/>
      <c r="W59" s="19">
        <v>1</v>
      </c>
      <c r="X59" s="66" t="s">
        <v>158</v>
      </c>
      <c r="Y59" s="60"/>
      <c r="Z59" s="79"/>
      <c r="AE59" s="77"/>
      <c r="AF59" s="77"/>
      <c r="AG59" s="81"/>
      <c r="AH59" s="81"/>
      <c r="AI59" s="82"/>
      <c r="AJ59" s="82"/>
      <c r="AM59" s="2">
        <v>1</v>
      </c>
      <c r="AN59" s="2" t="s">
        <v>159</v>
      </c>
      <c r="AQ59" s="81"/>
      <c r="AR59" s="81"/>
      <c r="AU59" s="19"/>
      <c r="AV59" s="19"/>
    </row>
    <row r="60" s="3" customFormat="1" ht="16.5" spans="1:58">
      <c r="A60" s="23" t="s">
        <v>160</v>
      </c>
      <c r="B60" s="24" t="s">
        <v>156</v>
      </c>
      <c r="C60" s="23" t="s">
        <v>161</v>
      </c>
      <c r="D60" s="18">
        <f t="shared" si="0"/>
        <v>2</v>
      </c>
      <c r="E60" s="7"/>
      <c r="F60" s="7"/>
      <c r="G60" s="7"/>
      <c r="H60" s="7"/>
      <c r="I60" s="22"/>
      <c r="J60" s="65"/>
      <c r="K60" s="7"/>
      <c r="L60" s="43"/>
      <c r="M60" s="19"/>
      <c r="N60" s="46"/>
      <c r="O60" s="7"/>
      <c r="P60" s="7"/>
      <c r="Q60" s="7"/>
      <c r="R60" s="7"/>
      <c r="S60" s="7"/>
      <c r="T60" s="7"/>
      <c r="U60" s="7"/>
      <c r="V60" s="70"/>
      <c r="W60" s="19">
        <v>1</v>
      </c>
      <c r="X60" s="66" t="s">
        <v>158</v>
      </c>
      <c r="Y60" s="7"/>
      <c r="Z60" s="72"/>
      <c r="AE60" s="76"/>
      <c r="AF60" s="76"/>
      <c r="AG60" s="83"/>
      <c r="AH60" s="83"/>
      <c r="AI60" s="8"/>
      <c r="AJ60" s="8"/>
      <c r="AM60" s="2">
        <v>1</v>
      </c>
      <c r="AN60" s="2" t="s">
        <v>159</v>
      </c>
      <c r="AQ60" s="83"/>
      <c r="AR60" s="83"/>
      <c r="BE60" s="2"/>
      <c r="BF60" s="2"/>
    </row>
    <row r="61" s="3" customFormat="1" ht="16.5" spans="1:58">
      <c r="A61" s="23" t="s">
        <v>162</v>
      </c>
      <c r="B61" s="24" t="s">
        <v>156</v>
      </c>
      <c r="C61" s="23" t="s">
        <v>163</v>
      </c>
      <c r="D61" s="18">
        <f t="shared" si="0"/>
        <v>3.25</v>
      </c>
      <c r="E61" s="7"/>
      <c r="F61" s="7"/>
      <c r="G61" s="7"/>
      <c r="H61" s="7"/>
      <c r="I61" s="22"/>
      <c r="J61" s="65"/>
      <c r="K61" s="7"/>
      <c r="L61" s="43"/>
      <c r="M61" s="19"/>
      <c r="N61" s="46"/>
      <c r="O61" s="7"/>
      <c r="P61" s="7"/>
      <c r="Q61" s="7"/>
      <c r="R61" s="7"/>
      <c r="S61" s="7"/>
      <c r="T61" s="7"/>
      <c r="U61" s="7"/>
      <c r="V61" s="70"/>
      <c r="W61" s="19">
        <v>1</v>
      </c>
      <c r="X61" s="66" t="s">
        <v>158</v>
      </c>
      <c r="Y61" s="7"/>
      <c r="Z61" s="72"/>
      <c r="AE61" s="7"/>
      <c r="AF61" s="70"/>
      <c r="AG61" s="3">
        <v>1.25</v>
      </c>
      <c r="AH61" s="3" t="s">
        <v>164</v>
      </c>
      <c r="AI61" s="8"/>
      <c r="AJ61" s="8"/>
      <c r="AM61" s="2">
        <v>1</v>
      </c>
      <c r="AN61" s="2" t="s">
        <v>159</v>
      </c>
      <c r="AQ61" s="83"/>
      <c r="AR61" s="83"/>
      <c r="BE61" s="2"/>
      <c r="BF61" s="2"/>
    </row>
    <row r="62" s="3" customFormat="1" ht="16.5" spans="1:58">
      <c r="A62" s="23" t="s">
        <v>165</v>
      </c>
      <c r="B62" s="24" t="s">
        <v>156</v>
      </c>
      <c r="C62" s="23" t="s">
        <v>166</v>
      </c>
      <c r="D62" s="18">
        <f t="shared" si="0"/>
        <v>3.25</v>
      </c>
      <c r="E62" s="7"/>
      <c r="F62" s="7"/>
      <c r="G62" s="7"/>
      <c r="H62" s="7"/>
      <c r="I62" s="22"/>
      <c r="J62" s="65"/>
      <c r="K62" s="7"/>
      <c r="L62" s="43"/>
      <c r="M62" s="19"/>
      <c r="N62" s="46"/>
      <c r="O62" s="7"/>
      <c r="P62" s="7"/>
      <c r="Q62" s="7"/>
      <c r="R62" s="7"/>
      <c r="S62" s="7"/>
      <c r="T62" s="7"/>
      <c r="U62" s="7"/>
      <c r="V62" s="70"/>
      <c r="W62" s="19">
        <v>1</v>
      </c>
      <c r="X62" s="66" t="s">
        <v>158</v>
      </c>
      <c r="Y62" s="7"/>
      <c r="Z62" s="72"/>
      <c r="AE62" s="7"/>
      <c r="AF62" s="70"/>
      <c r="AG62" s="3">
        <v>1.25</v>
      </c>
      <c r="AH62" s="3" t="s">
        <v>164</v>
      </c>
      <c r="AI62" s="8"/>
      <c r="AJ62" s="8"/>
      <c r="AM62" s="2">
        <v>1</v>
      </c>
      <c r="AN62" s="2" t="s">
        <v>159</v>
      </c>
      <c r="AQ62" s="83"/>
      <c r="AR62" s="83"/>
      <c r="BE62" s="2"/>
      <c r="BF62" s="2"/>
    </row>
    <row r="63" s="3" customFormat="1" ht="16.5" spans="1:58">
      <c r="A63" s="23" t="s">
        <v>167</v>
      </c>
      <c r="B63" s="24" t="s">
        <v>156</v>
      </c>
      <c r="C63" s="23" t="s">
        <v>168</v>
      </c>
      <c r="D63" s="18">
        <f t="shared" si="0"/>
        <v>2</v>
      </c>
      <c r="E63" s="7"/>
      <c r="F63" s="7"/>
      <c r="G63" s="7"/>
      <c r="H63" s="7"/>
      <c r="I63" s="22"/>
      <c r="J63" s="65"/>
      <c r="K63" s="7"/>
      <c r="L63" s="43"/>
      <c r="M63" s="19"/>
      <c r="N63" s="46"/>
      <c r="O63" s="7"/>
      <c r="P63" s="7"/>
      <c r="Q63" s="7"/>
      <c r="R63" s="7"/>
      <c r="S63" s="7"/>
      <c r="T63" s="7"/>
      <c r="U63" s="7"/>
      <c r="V63" s="70"/>
      <c r="W63" s="19">
        <v>1</v>
      </c>
      <c r="X63" s="66" t="s">
        <v>158</v>
      </c>
      <c r="Y63" s="7"/>
      <c r="Z63" s="72"/>
      <c r="AE63" s="7"/>
      <c r="AF63" s="70"/>
      <c r="AI63" s="8"/>
      <c r="AJ63" s="8"/>
      <c r="AM63" s="2">
        <v>1</v>
      </c>
      <c r="AN63" s="2" t="s">
        <v>159</v>
      </c>
      <c r="AQ63" s="83"/>
      <c r="AR63" s="83"/>
      <c r="AU63" s="22"/>
      <c r="AV63" s="69"/>
      <c r="BE63" s="2"/>
      <c r="BF63" s="2"/>
    </row>
    <row r="64" s="3" customFormat="1" ht="16.5" spans="1:58">
      <c r="A64" s="23" t="s">
        <v>169</v>
      </c>
      <c r="B64" s="24" t="s">
        <v>156</v>
      </c>
      <c r="C64" s="23" t="s">
        <v>170</v>
      </c>
      <c r="D64" s="18">
        <f t="shared" si="0"/>
        <v>2</v>
      </c>
      <c r="E64" s="7"/>
      <c r="F64" s="7"/>
      <c r="G64" s="7"/>
      <c r="H64" s="7"/>
      <c r="I64" s="22"/>
      <c r="J64" s="65"/>
      <c r="K64" s="7"/>
      <c r="L64" s="43"/>
      <c r="M64" s="19"/>
      <c r="N64" s="46"/>
      <c r="O64" s="7"/>
      <c r="P64" s="7"/>
      <c r="Q64" s="7"/>
      <c r="R64" s="7"/>
      <c r="S64" s="7"/>
      <c r="T64" s="7"/>
      <c r="U64" s="7"/>
      <c r="V64" s="70"/>
      <c r="W64" s="19">
        <v>1</v>
      </c>
      <c r="X64" s="66" t="s">
        <v>158</v>
      </c>
      <c r="Y64" s="7"/>
      <c r="Z64" s="72"/>
      <c r="AE64" s="7"/>
      <c r="AF64" s="70"/>
      <c r="AI64" s="8"/>
      <c r="AJ64" s="8"/>
      <c r="AM64" s="2">
        <v>1</v>
      </c>
      <c r="AN64" s="2" t="s">
        <v>159</v>
      </c>
      <c r="AQ64" s="83"/>
      <c r="AR64" s="83"/>
      <c r="AU64" s="22"/>
      <c r="AV64" s="69"/>
      <c r="BE64" s="2"/>
      <c r="BF64" s="2"/>
    </row>
    <row r="65" s="3" customFormat="1" ht="16.5" spans="1:58">
      <c r="A65" s="23" t="s">
        <v>171</v>
      </c>
      <c r="B65" s="24" t="s">
        <v>156</v>
      </c>
      <c r="C65" s="23" t="s">
        <v>172</v>
      </c>
      <c r="D65" s="18">
        <f t="shared" si="0"/>
        <v>2</v>
      </c>
      <c r="E65" s="7"/>
      <c r="F65" s="7"/>
      <c r="G65" s="7"/>
      <c r="H65" s="7"/>
      <c r="I65" s="22"/>
      <c r="J65" s="65"/>
      <c r="K65" s="7"/>
      <c r="L65" s="43"/>
      <c r="M65" s="19"/>
      <c r="N65" s="46"/>
      <c r="O65" s="7"/>
      <c r="P65" s="7"/>
      <c r="Q65" s="7"/>
      <c r="R65" s="7"/>
      <c r="S65" s="7"/>
      <c r="T65" s="7"/>
      <c r="U65" s="7"/>
      <c r="V65" s="70"/>
      <c r="W65" s="19">
        <v>1</v>
      </c>
      <c r="X65" s="66" t="s">
        <v>158</v>
      </c>
      <c r="Y65" s="7"/>
      <c r="Z65" s="72"/>
      <c r="AE65" s="7"/>
      <c r="AF65" s="70"/>
      <c r="AI65" s="8"/>
      <c r="AJ65" s="8"/>
      <c r="AM65" s="2">
        <v>1</v>
      </c>
      <c r="AN65" s="2" t="s">
        <v>159</v>
      </c>
      <c r="AQ65" s="83"/>
      <c r="AR65" s="83"/>
      <c r="AU65" s="22"/>
      <c r="AV65" s="68"/>
      <c r="BE65" s="2"/>
      <c r="BF65" s="2"/>
    </row>
    <row r="66" s="3" customFormat="1" ht="16.5" spans="1:58">
      <c r="A66" s="28" t="s">
        <v>173</v>
      </c>
      <c r="B66" s="31" t="s">
        <v>156</v>
      </c>
      <c r="C66" s="28" t="s">
        <v>174</v>
      </c>
      <c r="D66" s="18">
        <f t="shared" si="0"/>
        <v>2</v>
      </c>
      <c r="E66" s="7"/>
      <c r="F66" s="7"/>
      <c r="G66" s="7"/>
      <c r="H66" s="7"/>
      <c r="I66" s="22"/>
      <c r="J66" s="65"/>
      <c r="K66" s="7"/>
      <c r="L66" s="43"/>
      <c r="M66" s="19"/>
      <c r="N66" s="46"/>
      <c r="O66" s="7"/>
      <c r="P66" s="7"/>
      <c r="Q66" s="7"/>
      <c r="R66" s="7"/>
      <c r="S66" s="7"/>
      <c r="T66" s="7"/>
      <c r="U66" s="7"/>
      <c r="V66" s="70"/>
      <c r="W66" s="19">
        <v>1</v>
      </c>
      <c r="X66" s="66" t="s">
        <v>158</v>
      </c>
      <c r="Y66" s="7"/>
      <c r="Z66" s="72"/>
      <c r="AE66" s="7"/>
      <c r="AF66" s="70"/>
      <c r="AI66" s="8"/>
      <c r="AJ66" s="8"/>
      <c r="AM66" s="2">
        <v>1</v>
      </c>
      <c r="AN66" s="2" t="s">
        <v>159</v>
      </c>
      <c r="AQ66" s="83"/>
      <c r="AR66" s="83"/>
      <c r="AU66" s="22"/>
      <c r="AV66" s="69"/>
      <c r="BE66" s="2"/>
      <c r="BF66" s="2"/>
    </row>
    <row r="67" s="3" customFormat="1" ht="16.5" spans="1:58">
      <c r="A67" s="28" t="s">
        <v>175</v>
      </c>
      <c r="B67" s="31" t="s">
        <v>156</v>
      </c>
      <c r="C67" s="28" t="s">
        <v>176</v>
      </c>
      <c r="D67" s="18">
        <f t="shared" si="0"/>
        <v>2</v>
      </c>
      <c r="E67" s="7"/>
      <c r="F67" s="7"/>
      <c r="G67" s="7"/>
      <c r="H67" s="7"/>
      <c r="I67" s="22"/>
      <c r="J67" s="65"/>
      <c r="K67" s="7"/>
      <c r="L67" s="43"/>
      <c r="M67" s="19"/>
      <c r="N67" s="46"/>
      <c r="O67" s="7"/>
      <c r="P67" s="7"/>
      <c r="Q67" s="7"/>
      <c r="R67" s="7"/>
      <c r="S67" s="7"/>
      <c r="T67" s="7"/>
      <c r="U67" s="7"/>
      <c r="V67" s="70"/>
      <c r="W67" s="19">
        <v>1</v>
      </c>
      <c r="X67" s="66" t="s">
        <v>158</v>
      </c>
      <c r="Y67" s="7"/>
      <c r="Z67" s="72"/>
      <c r="AE67" s="7"/>
      <c r="AF67" s="70"/>
      <c r="AI67" s="8"/>
      <c r="AJ67" s="8"/>
      <c r="AM67" s="2">
        <v>1</v>
      </c>
      <c r="AN67" s="2" t="s">
        <v>159</v>
      </c>
      <c r="AQ67" s="83"/>
      <c r="AR67" s="83"/>
      <c r="AU67" s="22"/>
      <c r="AV67" s="68"/>
      <c r="BE67" s="2"/>
      <c r="BF67" s="2"/>
    </row>
    <row r="68" ht="16.5" spans="1:58">
      <c r="A68" s="28" t="s">
        <v>177</v>
      </c>
      <c r="B68" s="31" t="s">
        <v>156</v>
      </c>
      <c r="C68" s="28" t="s">
        <v>178</v>
      </c>
      <c r="D68" s="18">
        <f t="shared" ref="D68:D90" si="2">E68+G68+I68+K68+M68+O68+Q68+S68+U68+W68+Y68+AA68+AC68+AE68+AG68+AI68+AK68+AM68+AO68+AQ68+AS68+AU68+AW68+AY68+BA68+BC68+BE68+BG68+BI68+BK68</f>
        <v>2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100"/>
      <c r="V68" s="100"/>
      <c r="W68" s="19">
        <v>1</v>
      </c>
      <c r="X68" s="66" t="s">
        <v>158</v>
      </c>
      <c r="AM68" s="104">
        <v>1</v>
      </c>
      <c r="AN68" s="104" t="s">
        <v>159</v>
      </c>
      <c r="AQ68" s="83"/>
      <c r="AR68" s="83"/>
      <c r="AS68" s="107"/>
      <c r="AT68" s="107"/>
      <c r="AY68" s="3"/>
      <c r="AZ68" s="3"/>
      <c r="BE68" s="104"/>
      <c r="BF68" s="104"/>
    </row>
    <row r="69" ht="16.5" spans="1:58">
      <c r="A69" s="57" t="s">
        <v>179</v>
      </c>
      <c r="B69" s="87" t="s">
        <v>156</v>
      </c>
      <c r="C69" s="57" t="s">
        <v>180</v>
      </c>
      <c r="D69" s="18">
        <f t="shared" si="2"/>
        <v>2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100"/>
      <c r="V69" s="100"/>
      <c r="W69" s="19">
        <v>1</v>
      </c>
      <c r="X69" s="66" t="s">
        <v>158</v>
      </c>
      <c r="AM69" s="104">
        <v>1</v>
      </c>
      <c r="AN69" s="104" t="s">
        <v>159</v>
      </c>
      <c r="AQ69" s="83"/>
      <c r="AR69" s="83"/>
      <c r="AS69" s="107"/>
      <c r="AT69" s="107"/>
      <c r="AY69" s="3"/>
      <c r="AZ69" s="3"/>
      <c r="BE69" s="104"/>
      <c r="BF69" s="104"/>
    </row>
    <row r="70" ht="16.5" spans="1:58">
      <c r="A70" s="57" t="s">
        <v>181</v>
      </c>
      <c r="B70" s="87" t="s">
        <v>156</v>
      </c>
      <c r="C70" s="57" t="s">
        <v>182</v>
      </c>
      <c r="D70" s="18">
        <f t="shared" si="2"/>
        <v>2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100"/>
      <c r="V70" s="100"/>
      <c r="W70" s="19">
        <v>1</v>
      </c>
      <c r="X70" s="66" t="s">
        <v>158</v>
      </c>
      <c r="AI70" s="101"/>
      <c r="AJ70" s="101"/>
      <c r="AM70" s="104">
        <v>1</v>
      </c>
      <c r="AN70" s="104" t="s">
        <v>159</v>
      </c>
      <c r="AQ70" s="83"/>
      <c r="AR70" s="83"/>
      <c r="AS70" s="107"/>
      <c r="AT70" s="107"/>
      <c r="AY70" s="109"/>
      <c r="AZ70" s="109"/>
      <c r="BE70" s="104"/>
      <c r="BF70" s="104"/>
    </row>
    <row r="71" ht="22.5" spans="1:52">
      <c r="A71" s="57" t="s">
        <v>183</v>
      </c>
      <c r="B71" s="87" t="s">
        <v>103</v>
      </c>
      <c r="C71" s="57" t="s">
        <v>184</v>
      </c>
      <c r="D71" s="18">
        <f t="shared" si="2"/>
        <v>5.33</v>
      </c>
      <c r="K71" s="7">
        <v>1</v>
      </c>
      <c r="L71" s="7" t="s">
        <v>101</v>
      </c>
      <c r="Y71" s="7">
        <v>1.5</v>
      </c>
      <c r="Z71" s="70" t="s">
        <v>105</v>
      </c>
      <c r="AE71" s="7"/>
      <c r="AF71" s="70"/>
      <c r="AK71" s="7"/>
      <c r="AL71" s="72"/>
      <c r="AM71" s="8">
        <v>2</v>
      </c>
      <c r="AN71" s="80" t="s">
        <v>106</v>
      </c>
      <c r="AY71" s="7">
        <v>0.83</v>
      </c>
      <c r="AZ71" s="70" t="s">
        <v>107</v>
      </c>
    </row>
    <row r="72" ht="22.5" spans="1:52">
      <c r="A72" s="57" t="s">
        <v>185</v>
      </c>
      <c r="B72" s="87" t="s">
        <v>103</v>
      </c>
      <c r="C72" s="57" t="s">
        <v>186</v>
      </c>
      <c r="D72" s="18">
        <f t="shared" si="2"/>
        <v>5.33</v>
      </c>
      <c r="E72" s="88"/>
      <c r="F72" s="88"/>
      <c r="G72" s="88"/>
      <c r="H72" s="88"/>
      <c r="I72" s="88"/>
      <c r="J72" s="88"/>
      <c r="K72" s="7">
        <v>1</v>
      </c>
      <c r="L72" s="7" t="s">
        <v>101</v>
      </c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101"/>
      <c r="X72" s="101"/>
      <c r="Y72" s="7">
        <v>1.5</v>
      </c>
      <c r="Z72" s="70" t="s">
        <v>105</v>
      </c>
      <c r="AA72" s="101"/>
      <c r="AB72" s="101"/>
      <c r="AC72" s="101"/>
      <c r="AD72" s="101"/>
      <c r="AE72" s="88"/>
      <c r="AF72" s="102"/>
      <c r="AG72" s="101"/>
      <c r="AH72" s="101"/>
      <c r="AI72" s="101"/>
      <c r="AJ72" s="101"/>
      <c r="AK72" s="88"/>
      <c r="AL72" s="105"/>
      <c r="AM72" s="8">
        <v>2</v>
      </c>
      <c r="AN72" s="80" t="s">
        <v>106</v>
      </c>
      <c r="AO72" s="101"/>
      <c r="AP72" s="101"/>
      <c r="AY72" s="7">
        <v>0.83</v>
      </c>
      <c r="AZ72" s="70" t="s">
        <v>107</v>
      </c>
    </row>
    <row r="73" s="4" customFormat="1" ht="16.5" spans="1:58">
      <c r="A73" s="57" t="s">
        <v>187</v>
      </c>
      <c r="B73" s="87" t="s">
        <v>151</v>
      </c>
      <c r="C73" s="57" t="s">
        <v>188</v>
      </c>
      <c r="D73" s="18">
        <f t="shared" si="2"/>
        <v>2.25</v>
      </c>
      <c r="E73" s="57"/>
      <c r="F73" s="57"/>
      <c r="G73" s="57"/>
      <c r="H73" s="57"/>
      <c r="I73" s="57"/>
      <c r="J73" s="57"/>
      <c r="K73" s="57"/>
      <c r="L73" s="57"/>
      <c r="M73" s="57">
        <v>0.75</v>
      </c>
      <c r="N73" s="62" t="s">
        <v>153</v>
      </c>
      <c r="O73" s="57"/>
      <c r="P73" s="57"/>
      <c r="Q73" s="57"/>
      <c r="R73" s="57"/>
      <c r="S73" s="57"/>
      <c r="T73" s="57"/>
      <c r="U73" s="57"/>
      <c r="V73" s="57"/>
      <c r="AC73" s="57"/>
      <c r="AD73" s="57"/>
      <c r="AQ73" s="1">
        <v>1</v>
      </c>
      <c r="AR73" s="1" t="s">
        <v>40</v>
      </c>
      <c r="AY73" s="1">
        <v>0.5</v>
      </c>
      <c r="AZ73" s="1" t="s">
        <v>10</v>
      </c>
      <c r="BE73" s="1"/>
      <c r="BF73" s="1"/>
    </row>
    <row r="74" s="4" customFormat="1" ht="16.5" spans="1:58">
      <c r="A74" s="57" t="s">
        <v>189</v>
      </c>
      <c r="B74" s="87" t="s">
        <v>151</v>
      </c>
      <c r="C74" s="57" t="s">
        <v>190</v>
      </c>
      <c r="D74" s="18">
        <f t="shared" si="2"/>
        <v>3.45</v>
      </c>
      <c r="E74" s="57"/>
      <c r="F74" s="57"/>
      <c r="G74" s="57"/>
      <c r="H74" s="57"/>
      <c r="I74" s="57"/>
      <c r="J74" s="57"/>
      <c r="K74" s="57"/>
      <c r="L74" s="57"/>
      <c r="M74" s="57">
        <v>0.75</v>
      </c>
      <c r="N74" s="62" t="s">
        <v>153</v>
      </c>
      <c r="O74" s="57"/>
      <c r="P74" s="57"/>
      <c r="Q74" s="57"/>
      <c r="R74" s="57"/>
      <c r="S74" s="57"/>
      <c r="T74" s="57"/>
      <c r="U74" s="57"/>
      <c r="V74" s="57"/>
      <c r="AC74" s="22">
        <v>1.2</v>
      </c>
      <c r="AD74" s="68" t="s">
        <v>154</v>
      </c>
      <c r="AQ74" s="1">
        <v>1</v>
      </c>
      <c r="AR74" s="1" t="s">
        <v>40</v>
      </c>
      <c r="AY74" s="1">
        <v>0.5</v>
      </c>
      <c r="AZ74" s="1" t="s">
        <v>10</v>
      </c>
      <c r="BE74" s="1"/>
      <c r="BF74" s="1"/>
    </row>
    <row r="75" s="4" customFormat="1" ht="16.5" spans="1:58">
      <c r="A75" s="57" t="s">
        <v>191</v>
      </c>
      <c r="B75" s="87" t="s">
        <v>151</v>
      </c>
      <c r="C75" s="57" t="s">
        <v>192</v>
      </c>
      <c r="D75" s="18">
        <f t="shared" si="2"/>
        <v>3.25</v>
      </c>
      <c r="E75" s="7">
        <v>1</v>
      </c>
      <c r="F75" s="7" t="s">
        <v>82</v>
      </c>
      <c r="G75" s="57"/>
      <c r="H75" s="57"/>
      <c r="I75" s="57"/>
      <c r="J75" s="57"/>
      <c r="K75" s="57"/>
      <c r="L75" s="57"/>
      <c r="M75" s="57">
        <v>0.75</v>
      </c>
      <c r="N75" s="62" t="s">
        <v>153</v>
      </c>
      <c r="O75" s="57"/>
      <c r="P75" s="57"/>
      <c r="Q75" s="57"/>
      <c r="R75" s="57"/>
      <c r="S75" s="57"/>
      <c r="T75" s="57"/>
      <c r="U75" s="57"/>
      <c r="V75" s="57"/>
      <c r="AC75" s="57"/>
      <c r="AD75" s="57"/>
      <c r="AQ75" s="1">
        <v>1</v>
      </c>
      <c r="AR75" s="1" t="s">
        <v>40</v>
      </c>
      <c r="AY75" s="1">
        <v>0.5</v>
      </c>
      <c r="AZ75" s="1" t="s">
        <v>10</v>
      </c>
      <c r="BE75" s="1"/>
      <c r="BF75" s="1"/>
    </row>
    <row r="76" s="4" customFormat="1" ht="16.5" spans="1:58">
      <c r="A76" s="57" t="s">
        <v>193</v>
      </c>
      <c r="B76" s="87" t="s">
        <v>151</v>
      </c>
      <c r="C76" s="57" t="s">
        <v>194</v>
      </c>
      <c r="D76" s="18">
        <f t="shared" si="2"/>
        <v>1.75</v>
      </c>
      <c r="E76" s="57"/>
      <c r="F76" s="57"/>
      <c r="G76" s="57"/>
      <c r="H76" s="57"/>
      <c r="I76" s="57"/>
      <c r="J76" s="57"/>
      <c r="K76" s="57"/>
      <c r="L76" s="57"/>
      <c r="M76" s="57">
        <v>0.75</v>
      </c>
      <c r="N76" s="62" t="s">
        <v>153</v>
      </c>
      <c r="O76" s="57"/>
      <c r="P76" s="57"/>
      <c r="Q76" s="57"/>
      <c r="R76" s="57"/>
      <c r="S76" s="57"/>
      <c r="T76" s="57"/>
      <c r="U76" s="57"/>
      <c r="V76" s="57"/>
      <c r="AC76" s="57"/>
      <c r="AD76" s="57"/>
      <c r="AQ76" s="1">
        <v>1</v>
      </c>
      <c r="AR76" s="1" t="s">
        <v>40</v>
      </c>
      <c r="BE76" s="1"/>
      <c r="BF76" s="1"/>
    </row>
    <row r="77" s="4" customFormat="1" ht="16.5" spans="1:58">
      <c r="A77" s="57" t="s">
        <v>195</v>
      </c>
      <c r="B77" s="87" t="s">
        <v>151</v>
      </c>
      <c r="C77" s="57" t="s">
        <v>196</v>
      </c>
      <c r="D77" s="18">
        <f t="shared" si="2"/>
        <v>2.25</v>
      </c>
      <c r="E77" s="57"/>
      <c r="F77" s="57"/>
      <c r="G77" s="57"/>
      <c r="H77" s="57"/>
      <c r="I77" s="57"/>
      <c r="J77" s="57"/>
      <c r="K77" s="57"/>
      <c r="L77" s="57"/>
      <c r="M77" s="57">
        <v>0.75</v>
      </c>
      <c r="N77" s="62" t="s">
        <v>153</v>
      </c>
      <c r="O77" s="57"/>
      <c r="P77" s="57"/>
      <c r="Q77" s="57"/>
      <c r="R77" s="57"/>
      <c r="S77" s="57"/>
      <c r="T77" s="57"/>
      <c r="U77" s="57"/>
      <c r="V77" s="57"/>
      <c r="AC77" s="57"/>
      <c r="AD77" s="57"/>
      <c r="AQ77" s="1">
        <v>1</v>
      </c>
      <c r="AR77" s="1" t="s">
        <v>40</v>
      </c>
      <c r="AY77" s="1">
        <v>0.5</v>
      </c>
      <c r="AZ77" s="1" t="s">
        <v>10</v>
      </c>
      <c r="BE77" s="1"/>
      <c r="BF77" s="1"/>
    </row>
    <row r="78" s="4" customFormat="1" ht="16.5" spans="1:58">
      <c r="A78" s="57" t="s">
        <v>197</v>
      </c>
      <c r="B78" s="87" t="s">
        <v>151</v>
      </c>
      <c r="C78" s="57" t="s">
        <v>198</v>
      </c>
      <c r="D78" s="18">
        <f t="shared" si="2"/>
        <v>3.45</v>
      </c>
      <c r="E78" s="57"/>
      <c r="F78" s="57"/>
      <c r="G78" s="57"/>
      <c r="H78" s="57"/>
      <c r="I78" s="57"/>
      <c r="J78" s="57"/>
      <c r="K78" s="57"/>
      <c r="L78" s="57"/>
      <c r="M78" s="57">
        <v>0.75</v>
      </c>
      <c r="N78" s="62" t="s">
        <v>153</v>
      </c>
      <c r="O78" s="57"/>
      <c r="P78" s="57"/>
      <c r="Q78" s="57"/>
      <c r="R78" s="57"/>
      <c r="S78" s="57"/>
      <c r="T78" s="57"/>
      <c r="U78" s="57"/>
      <c r="V78" s="57"/>
      <c r="AC78" s="22">
        <v>1.2</v>
      </c>
      <c r="AD78" s="68" t="s">
        <v>154</v>
      </c>
      <c r="AQ78" s="1">
        <v>1</v>
      </c>
      <c r="AR78" s="1" t="s">
        <v>40</v>
      </c>
      <c r="AY78" s="1">
        <v>0.5</v>
      </c>
      <c r="AZ78" s="1" t="s">
        <v>10</v>
      </c>
      <c r="BE78" s="1"/>
      <c r="BF78" s="1"/>
    </row>
    <row r="79" s="4" customFormat="1" ht="16.5" spans="1:58">
      <c r="A79" s="57" t="s">
        <v>199</v>
      </c>
      <c r="B79" s="87" t="s">
        <v>151</v>
      </c>
      <c r="C79" s="57" t="s">
        <v>200</v>
      </c>
      <c r="D79" s="18">
        <f t="shared" si="2"/>
        <v>2.75</v>
      </c>
      <c r="E79" s="57"/>
      <c r="F79" s="57"/>
      <c r="G79" s="57"/>
      <c r="H79" s="57"/>
      <c r="I79" s="57"/>
      <c r="J79" s="57"/>
      <c r="K79" s="57"/>
      <c r="L79" s="57"/>
      <c r="M79" s="57">
        <v>0.75</v>
      </c>
      <c r="N79" s="62" t="s">
        <v>153</v>
      </c>
      <c r="O79" s="57"/>
      <c r="P79" s="57"/>
      <c r="Q79" s="57"/>
      <c r="R79" s="57"/>
      <c r="S79" s="57"/>
      <c r="T79" s="57"/>
      <c r="U79" s="57"/>
      <c r="V79" s="57"/>
      <c r="W79" s="4">
        <v>0.5</v>
      </c>
      <c r="X79" s="4" t="s">
        <v>201</v>
      </c>
      <c r="AC79" s="57"/>
      <c r="AD79" s="57"/>
      <c r="AQ79" s="1">
        <v>1</v>
      </c>
      <c r="AR79" s="1" t="s">
        <v>40</v>
      </c>
      <c r="AY79" s="1">
        <v>0.5</v>
      </c>
      <c r="AZ79" s="1" t="s">
        <v>10</v>
      </c>
      <c r="BE79" s="1"/>
      <c r="BF79" s="1"/>
    </row>
    <row r="80" s="4" customFormat="1" ht="16.5" spans="1:58">
      <c r="A80" s="57" t="s">
        <v>202</v>
      </c>
      <c r="B80" s="87" t="s">
        <v>151</v>
      </c>
      <c r="C80" s="57" t="s">
        <v>203</v>
      </c>
      <c r="D80" s="18">
        <f t="shared" si="2"/>
        <v>2.25</v>
      </c>
      <c r="E80" s="57"/>
      <c r="F80" s="57"/>
      <c r="G80" s="57"/>
      <c r="H80" s="57"/>
      <c r="I80" s="57"/>
      <c r="J80" s="57"/>
      <c r="K80" s="57"/>
      <c r="L80" s="57"/>
      <c r="M80" s="57">
        <v>0.75</v>
      </c>
      <c r="N80" s="62" t="s">
        <v>153</v>
      </c>
      <c r="O80" s="57"/>
      <c r="P80" s="57"/>
      <c r="Q80" s="57"/>
      <c r="R80" s="57"/>
      <c r="S80" s="57"/>
      <c r="T80" s="57"/>
      <c r="U80" s="57"/>
      <c r="V80" s="57"/>
      <c r="AC80" s="57"/>
      <c r="AD80" s="57"/>
      <c r="AQ80" s="1">
        <v>1</v>
      </c>
      <c r="AR80" s="1" t="s">
        <v>40</v>
      </c>
      <c r="AY80" s="1">
        <v>0.5</v>
      </c>
      <c r="AZ80" s="1" t="s">
        <v>10</v>
      </c>
      <c r="BE80" s="1"/>
      <c r="BF80" s="1"/>
    </row>
    <row r="81" s="5" customFormat="1" ht="16.5" spans="1:64">
      <c r="A81" s="57" t="s">
        <v>204</v>
      </c>
      <c r="B81" s="87" t="s">
        <v>151</v>
      </c>
      <c r="C81" s="57" t="s">
        <v>205</v>
      </c>
      <c r="D81" s="18">
        <f t="shared" si="2"/>
        <v>9.08</v>
      </c>
      <c r="E81" s="7">
        <v>1</v>
      </c>
      <c r="F81" s="7" t="s">
        <v>82</v>
      </c>
      <c r="G81" s="7">
        <v>2.83</v>
      </c>
      <c r="H81" s="7" t="s">
        <v>206</v>
      </c>
      <c r="I81" s="7">
        <v>2</v>
      </c>
      <c r="J81" s="7" t="s">
        <v>207</v>
      </c>
      <c r="K81" s="7"/>
      <c r="L81" s="7"/>
      <c r="M81" s="57">
        <v>0.75</v>
      </c>
      <c r="N81" s="62" t="s">
        <v>153</v>
      </c>
      <c r="O81" s="7"/>
      <c r="P81" s="7"/>
      <c r="Q81" s="7"/>
      <c r="R81" s="7"/>
      <c r="S81" s="7"/>
      <c r="T81" s="7"/>
      <c r="U81" s="7"/>
      <c r="V81" s="7"/>
      <c r="W81" s="8"/>
      <c r="X81" s="8"/>
      <c r="Y81" s="8"/>
      <c r="Z81" s="8"/>
      <c r="AA81" s="8"/>
      <c r="AB81" s="8"/>
      <c r="AC81" s="76"/>
      <c r="AD81" s="76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1">
        <v>1</v>
      </c>
      <c r="AR81" s="1" t="s">
        <v>40</v>
      </c>
      <c r="AS81" s="8">
        <v>1</v>
      </c>
      <c r="AT81" s="80" t="s">
        <v>208</v>
      </c>
      <c r="AU81" s="8"/>
      <c r="AV81" s="8"/>
      <c r="AW81" s="8"/>
      <c r="AX81" s="8"/>
      <c r="AY81" s="1">
        <v>0.5</v>
      </c>
      <c r="AZ81" s="1" t="s">
        <v>10</v>
      </c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</row>
    <row r="82" s="5" customFormat="1" ht="16.5" spans="1:64">
      <c r="A82" s="57" t="s">
        <v>209</v>
      </c>
      <c r="B82" s="87" t="s">
        <v>151</v>
      </c>
      <c r="C82" s="57" t="s">
        <v>210</v>
      </c>
      <c r="D82" s="18">
        <f t="shared" si="2"/>
        <v>9.08</v>
      </c>
      <c r="E82" s="7">
        <v>1</v>
      </c>
      <c r="F82" s="7" t="s">
        <v>82</v>
      </c>
      <c r="G82" s="7">
        <v>2.83</v>
      </c>
      <c r="H82" s="7" t="s">
        <v>206</v>
      </c>
      <c r="I82" s="7">
        <v>2</v>
      </c>
      <c r="J82" s="7" t="s">
        <v>207</v>
      </c>
      <c r="K82" s="7"/>
      <c r="L82" s="7"/>
      <c r="M82" s="57">
        <v>0.75</v>
      </c>
      <c r="N82" s="62" t="s">
        <v>153</v>
      </c>
      <c r="O82" s="7"/>
      <c r="P82" s="7"/>
      <c r="Q82" s="7"/>
      <c r="R82" s="7"/>
      <c r="S82" s="7"/>
      <c r="T82" s="7"/>
      <c r="U82" s="7"/>
      <c r="V82" s="7"/>
      <c r="W82" s="8"/>
      <c r="X82" s="8"/>
      <c r="Y82" s="8"/>
      <c r="Z82" s="8"/>
      <c r="AA82" s="8"/>
      <c r="AB82" s="8"/>
      <c r="AC82" s="76"/>
      <c r="AD82" s="76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1">
        <v>1</v>
      </c>
      <c r="AR82" s="1" t="s">
        <v>40</v>
      </c>
      <c r="AS82" s="8">
        <v>1</v>
      </c>
      <c r="AT82" s="80" t="s">
        <v>208</v>
      </c>
      <c r="AU82" s="8"/>
      <c r="AV82" s="8"/>
      <c r="AW82" s="8"/>
      <c r="AX82" s="8"/>
      <c r="AY82" s="1">
        <v>0.5</v>
      </c>
      <c r="AZ82" s="1" t="s">
        <v>10</v>
      </c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</row>
    <row r="83" s="5" customFormat="1" ht="22.5" spans="1:64">
      <c r="A83" s="89" t="s">
        <v>211</v>
      </c>
      <c r="B83" s="90" t="s">
        <v>103</v>
      </c>
      <c r="C83" s="91" t="s">
        <v>212</v>
      </c>
      <c r="D83" s="18">
        <f t="shared" si="2"/>
        <v>7.33</v>
      </c>
      <c r="E83" s="7"/>
      <c r="F83" s="7"/>
      <c r="G83" s="7"/>
      <c r="H83" s="7"/>
      <c r="I83" s="7"/>
      <c r="J83" s="7"/>
      <c r="K83" s="7">
        <v>1</v>
      </c>
      <c r="L83" s="7" t="s">
        <v>101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8"/>
      <c r="X83" s="8"/>
      <c r="Y83" s="8">
        <v>2</v>
      </c>
      <c r="Z83" s="19" t="s">
        <v>213</v>
      </c>
      <c r="AA83" s="8"/>
      <c r="AB83" s="8"/>
      <c r="AC83" s="76"/>
      <c r="AD83" s="76"/>
      <c r="AE83" s="8"/>
      <c r="AF83" s="8"/>
      <c r="AG83" s="8"/>
      <c r="AH83" s="8"/>
      <c r="AI83" s="8"/>
      <c r="AJ83" s="8"/>
      <c r="AK83" s="8"/>
      <c r="AL83" s="8"/>
      <c r="AM83" s="8">
        <v>2</v>
      </c>
      <c r="AN83" s="80" t="s">
        <v>106</v>
      </c>
      <c r="AO83" s="8"/>
      <c r="AP83" s="8"/>
      <c r="AQ83" s="8"/>
      <c r="AR83" s="8"/>
      <c r="AS83" s="8">
        <v>1.5</v>
      </c>
      <c r="AT83" s="80" t="s">
        <v>214</v>
      </c>
      <c r="AU83" s="8"/>
      <c r="AV83" s="8"/>
      <c r="AW83" s="8"/>
      <c r="AX83" s="8"/>
      <c r="AY83" s="7">
        <v>0.83</v>
      </c>
      <c r="AZ83" s="70" t="s">
        <v>107</v>
      </c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</row>
    <row r="84" s="5" customFormat="1" ht="22.5" spans="1:64">
      <c r="A84" s="89" t="s">
        <v>215</v>
      </c>
      <c r="B84" s="90" t="s">
        <v>103</v>
      </c>
      <c r="C84" s="91" t="s">
        <v>216</v>
      </c>
      <c r="D84" s="18">
        <f t="shared" si="2"/>
        <v>7.5</v>
      </c>
      <c r="E84" s="7"/>
      <c r="F84" s="7"/>
      <c r="G84" s="7"/>
      <c r="H84" s="7"/>
      <c r="I84" s="7"/>
      <c r="J84" s="7"/>
      <c r="K84" s="7">
        <v>1</v>
      </c>
      <c r="L84" s="7" t="s">
        <v>101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8"/>
      <c r="X84" s="8"/>
      <c r="Y84" s="8">
        <v>2</v>
      </c>
      <c r="Z84" s="19" t="s">
        <v>213</v>
      </c>
      <c r="AA84" s="8"/>
      <c r="AB84" s="8"/>
      <c r="AC84" s="76"/>
      <c r="AD84" s="76"/>
      <c r="AE84" s="8"/>
      <c r="AF84" s="8"/>
      <c r="AG84" s="8"/>
      <c r="AH84" s="8"/>
      <c r="AI84" s="8"/>
      <c r="AJ84" s="8"/>
      <c r="AK84" s="8"/>
      <c r="AL84" s="8"/>
      <c r="AM84" s="8">
        <v>2</v>
      </c>
      <c r="AN84" s="80" t="s">
        <v>106</v>
      </c>
      <c r="AO84" s="8">
        <v>1.67</v>
      </c>
      <c r="AP84" s="8" t="s">
        <v>217</v>
      </c>
      <c r="AQ84" s="8"/>
      <c r="AR84" s="8"/>
      <c r="AS84" s="8"/>
      <c r="AT84" s="80"/>
      <c r="AU84" s="8"/>
      <c r="AV84" s="8"/>
      <c r="AW84" s="8"/>
      <c r="AX84" s="8"/>
      <c r="AY84" s="7">
        <v>0.83</v>
      </c>
      <c r="AZ84" s="70" t="s">
        <v>107</v>
      </c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</row>
    <row r="85" s="5" customFormat="1" ht="22.5" spans="1:64">
      <c r="A85" s="89" t="s">
        <v>218</v>
      </c>
      <c r="B85" s="90" t="s">
        <v>103</v>
      </c>
      <c r="C85" s="91" t="s">
        <v>219</v>
      </c>
      <c r="D85" s="18">
        <f t="shared" si="2"/>
        <v>5.83</v>
      </c>
      <c r="E85" s="7"/>
      <c r="F85" s="7"/>
      <c r="G85" s="7"/>
      <c r="H85" s="7"/>
      <c r="I85" s="7"/>
      <c r="J85" s="7"/>
      <c r="K85" s="7">
        <v>1</v>
      </c>
      <c r="L85" s="7" t="s">
        <v>101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8"/>
      <c r="X85" s="8"/>
      <c r="Y85" s="8">
        <v>2</v>
      </c>
      <c r="Z85" s="19" t="s">
        <v>213</v>
      </c>
      <c r="AA85" s="8"/>
      <c r="AB85" s="8"/>
      <c r="AC85" s="76"/>
      <c r="AD85" s="76"/>
      <c r="AE85" s="8"/>
      <c r="AF85" s="8"/>
      <c r="AG85" s="8"/>
      <c r="AH85" s="8"/>
      <c r="AI85" s="8"/>
      <c r="AJ85" s="8"/>
      <c r="AK85" s="8"/>
      <c r="AL85" s="8"/>
      <c r="AM85" s="8">
        <v>2</v>
      </c>
      <c r="AN85" s="80" t="s">
        <v>106</v>
      </c>
      <c r="AO85" s="8"/>
      <c r="AP85" s="8"/>
      <c r="AQ85" s="8"/>
      <c r="AR85" s="8"/>
      <c r="AS85" s="8"/>
      <c r="AT85" s="80"/>
      <c r="AU85" s="8"/>
      <c r="AV85" s="8"/>
      <c r="AW85" s="8"/>
      <c r="AX85" s="8"/>
      <c r="AY85" s="7">
        <v>0.83</v>
      </c>
      <c r="AZ85" s="70" t="s">
        <v>107</v>
      </c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</row>
    <row r="86" s="5" customFormat="1" ht="22.5" spans="1:64">
      <c r="A86" s="89" t="s">
        <v>220</v>
      </c>
      <c r="B86" s="90" t="s">
        <v>103</v>
      </c>
      <c r="C86" s="91" t="s">
        <v>221</v>
      </c>
      <c r="D86" s="18">
        <f t="shared" si="2"/>
        <v>8.01</v>
      </c>
      <c r="E86" s="7"/>
      <c r="F86" s="7"/>
      <c r="G86" s="7"/>
      <c r="H86" s="7"/>
      <c r="I86" s="7"/>
      <c r="J86" s="7"/>
      <c r="K86" s="7">
        <v>1</v>
      </c>
      <c r="L86" s="7" t="s">
        <v>101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8"/>
      <c r="X86" s="8"/>
      <c r="Y86" s="8">
        <v>2</v>
      </c>
      <c r="Z86" s="19" t="s">
        <v>213</v>
      </c>
      <c r="AA86" s="8"/>
      <c r="AB86" s="8"/>
      <c r="AC86" s="76"/>
      <c r="AD86" s="76"/>
      <c r="AE86" s="8"/>
      <c r="AF86" s="8"/>
      <c r="AG86" s="8"/>
      <c r="AH86" s="8"/>
      <c r="AI86" s="8"/>
      <c r="AJ86" s="8"/>
      <c r="AK86" s="8"/>
      <c r="AL86" s="8"/>
      <c r="AM86" s="8">
        <v>2</v>
      </c>
      <c r="AN86" s="80" t="s">
        <v>106</v>
      </c>
      <c r="AO86" s="22">
        <v>0.83</v>
      </c>
      <c r="AP86" s="36" t="s">
        <v>222</v>
      </c>
      <c r="AQ86" s="8"/>
      <c r="AR86" s="8"/>
      <c r="AS86" s="8"/>
      <c r="AT86" s="80"/>
      <c r="AU86" s="8"/>
      <c r="AV86" s="8"/>
      <c r="AW86" s="8"/>
      <c r="AX86" s="8"/>
      <c r="AY86" s="7">
        <v>0.83</v>
      </c>
      <c r="AZ86" s="70" t="s">
        <v>107</v>
      </c>
      <c r="BA86" s="8"/>
      <c r="BB86" s="8"/>
      <c r="BC86" s="22">
        <v>1.35</v>
      </c>
      <c r="BD86" s="69" t="s">
        <v>48</v>
      </c>
      <c r="BE86" s="8"/>
      <c r="BF86" s="8"/>
      <c r="BG86" s="8"/>
      <c r="BH86" s="8"/>
      <c r="BI86" s="8"/>
      <c r="BJ86" s="8"/>
      <c r="BK86" s="8"/>
      <c r="BL86" s="8"/>
    </row>
    <row r="87" s="6" customFormat="1" ht="22.5" spans="1:64">
      <c r="A87" s="89" t="s">
        <v>223</v>
      </c>
      <c r="B87" s="92" t="s">
        <v>103</v>
      </c>
      <c r="C87" s="93" t="s">
        <v>224</v>
      </c>
      <c r="D87" s="18">
        <f t="shared" si="2"/>
        <v>6.33</v>
      </c>
      <c r="E87" s="88"/>
      <c r="F87" s="88"/>
      <c r="G87" s="88"/>
      <c r="H87" s="88"/>
      <c r="I87" s="88"/>
      <c r="J87" s="88"/>
      <c r="K87" s="7">
        <v>1</v>
      </c>
      <c r="L87" s="7" t="s">
        <v>101</v>
      </c>
      <c r="M87" s="19">
        <v>0.5</v>
      </c>
      <c r="N87" s="19" t="s">
        <v>9</v>
      </c>
      <c r="O87" s="88"/>
      <c r="P87" s="88"/>
      <c r="Q87" s="88"/>
      <c r="R87" s="88"/>
      <c r="S87" s="88"/>
      <c r="T87" s="88"/>
      <c r="U87" s="88"/>
      <c r="V87" s="88"/>
      <c r="W87" s="101"/>
      <c r="X87" s="101"/>
      <c r="Y87" s="8">
        <v>2</v>
      </c>
      <c r="Z87" s="19" t="s">
        <v>213</v>
      </c>
      <c r="AA87" s="101"/>
      <c r="AB87" s="101"/>
      <c r="AC87" s="103"/>
      <c r="AD87" s="103"/>
      <c r="AE87" s="103"/>
      <c r="AF87" s="103"/>
      <c r="AG87" s="101"/>
      <c r="AH87" s="101"/>
      <c r="AI87" s="101"/>
      <c r="AJ87" s="101"/>
      <c r="AK87" s="101"/>
      <c r="AL87" s="101"/>
      <c r="AM87" s="8">
        <v>2</v>
      </c>
      <c r="AN87" s="80" t="s">
        <v>106</v>
      </c>
      <c r="AO87" s="101"/>
      <c r="AP87" s="101"/>
      <c r="AQ87" s="101"/>
      <c r="AR87" s="101"/>
      <c r="AS87" s="101"/>
      <c r="AT87" s="108"/>
      <c r="AU87" s="101"/>
      <c r="AV87" s="101"/>
      <c r="AW87" s="101"/>
      <c r="AX87" s="101"/>
      <c r="AY87" s="7">
        <v>0.83</v>
      </c>
      <c r="AZ87" s="70" t="s">
        <v>107</v>
      </c>
      <c r="BA87" s="101"/>
      <c r="BB87" s="101"/>
      <c r="BC87" s="101"/>
      <c r="BD87" s="101"/>
      <c r="BE87" s="8"/>
      <c r="BF87" s="8"/>
      <c r="BG87" s="101"/>
      <c r="BH87" s="101"/>
      <c r="BI87" s="101"/>
      <c r="BJ87" s="101"/>
      <c r="BK87" s="101"/>
      <c r="BL87" s="101"/>
    </row>
    <row r="88" ht="16.5" spans="1:52">
      <c r="A88" s="89" t="s">
        <v>225</v>
      </c>
      <c r="B88" s="94" t="s">
        <v>103</v>
      </c>
      <c r="C88" s="95" t="s">
        <v>226</v>
      </c>
      <c r="D88" s="18">
        <f t="shared" si="2"/>
        <v>3.83</v>
      </c>
      <c r="E88" s="60"/>
      <c r="F88" s="60"/>
      <c r="G88" s="60"/>
      <c r="H88" s="60"/>
      <c r="I88" s="60"/>
      <c r="J88" s="60"/>
      <c r="K88" s="7">
        <v>1</v>
      </c>
      <c r="L88" s="7" t="s">
        <v>101</v>
      </c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82"/>
      <c r="X88" s="82"/>
      <c r="Y88" s="8">
        <v>2</v>
      </c>
      <c r="Z88" s="19" t="s">
        <v>213</v>
      </c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Y88" s="7">
        <v>0.83</v>
      </c>
      <c r="AZ88" s="70" t="s">
        <v>107</v>
      </c>
    </row>
    <row r="89" ht="16.5" spans="1:52">
      <c r="A89" s="89" t="s">
        <v>227</v>
      </c>
      <c r="B89" s="90" t="s">
        <v>103</v>
      </c>
      <c r="C89" s="96" t="s">
        <v>228</v>
      </c>
      <c r="D89" s="18">
        <f t="shared" si="2"/>
        <v>1.83</v>
      </c>
      <c r="K89" s="7">
        <v>1</v>
      </c>
      <c r="L89" s="7" t="s">
        <v>101</v>
      </c>
      <c r="Z89" s="19"/>
      <c r="AY89" s="7">
        <v>0.83</v>
      </c>
      <c r="AZ89" s="70" t="s">
        <v>107</v>
      </c>
    </row>
    <row r="90" ht="22.5" spans="1:58">
      <c r="A90" s="25" t="s">
        <v>229</v>
      </c>
      <c r="B90" s="47" t="s">
        <v>7</v>
      </c>
      <c r="C90" s="97" t="s">
        <v>230</v>
      </c>
      <c r="D90" s="18">
        <f t="shared" si="2"/>
        <v>6.86</v>
      </c>
      <c r="E90" s="39"/>
      <c r="F90" s="39"/>
      <c r="G90" s="39"/>
      <c r="H90" s="39"/>
      <c r="I90" s="39"/>
      <c r="J90" s="39"/>
      <c r="K90" s="7">
        <v>1</v>
      </c>
      <c r="L90" s="7" t="s">
        <v>101</v>
      </c>
      <c r="M90" s="19">
        <v>0.5</v>
      </c>
      <c r="N90" s="19" t="s">
        <v>9</v>
      </c>
      <c r="O90" s="39"/>
      <c r="P90" s="39"/>
      <c r="Q90" s="19">
        <v>0.5</v>
      </c>
      <c r="R90" s="19" t="s">
        <v>10</v>
      </c>
      <c r="S90" s="39"/>
      <c r="T90" s="39"/>
      <c r="U90" s="100"/>
      <c r="V90" s="100"/>
      <c r="Y90" s="8">
        <v>0.5</v>
      </c>
      <c r="Z90" s="19" t="s">
        <v>9</v>
      </c>
      <c r="AA90" s="19">
        <f>0.83*2</f>
        <v>1.66</v>
      </c>
      <c r="AB90" s="67" t="s">
        <v>11</v>
      </c>
      <c r="AC90" s="19"/>
      <c r="AD90" s="67"/>
      <c r="AI90" s="106"/>
      <c r="AJ90" s="106"/>
      <c r="AM90" s="19">
        <v>1</v>
      </c>
      <c r="AN90" s="66" t="s">
        <v>12</v>
      </c>
      <c r="AO90" s="19">
        <v>1.2</v>
      </c>
      <c r="AP90" s="66" t="s">
        <v>13</v>
      </c>
      <c r="AQ90" s="19"/>
      <c r="AR90" s="67"/>
      <c r="AS90" s="19"/>
      <c r="AT90" s="66"/>
      <c r="AU90" s="19"/>
      <c r="AV90" s="66"/>
      <c r="AY90" s="22">
        <v>0.5</v>
      </c>
      <c r="AZ90" s="66" t="s">
        <v>16</v>
      </c>
      <c r="BA90" s="4"/>
      <c r="BB90" s="84"/>
      <c r="BE90" s="19"/>
      <c r="BF90" s="66"/>
    </row>
    <row r="91" ht="13.5" spans="1:4">
      <c r="A91" s="98"/>
      <c r="B91" s="25"/>
      <c r="C91" s="27"/>
      <c r="D91" s="8"/>
    </row>
    <row r="92" ht="13.5" spans="1:4">
      <c r="A92" s="99"/>
      <c r="D92" s="8"/>
    </row>
    <row r="93" ht="13.5" spans="1:4">
      <c r="A93" s="99"/>
      <c r="D93" s="8"/>
    </row>
    <row r="94" ht="13.5" spans="1:4">
      <c r="A94" s="99"/>
      <c r="D94" s="8"/>
    </row>
    <row r="95" ht="13.5" spans="1:4">
      <c r="A95" s="99"/>
      <c r="D95" s="8"/>
    </row>
    <row r="96" ht="13.5" spans="1:4">
      <c r="A96" s="99"/>
      <c r="D96" s="8"/>
    </row>
    <row r="97" ht="13.5" spans="1:4">
      <c r="A97" s="99"/>
      <c r="D97" s="8"/>
    </row>
    <row r="98" ht="13.5" spans="1:4">
      <c r="A98" s="99"/>
      <c r="D98" s="8"/>
    </row>
    <row r="99" ht="13.5" spans="1:4">
      <c r="A99" s="99"/>
      <c r="D99" s="8"/>
    </row>
    <row r="100" ht="13.5" spans="1:4">
      <c r="A100" s="99"/>
      <c r="D100" s="8"/>
    </row>
    <row r="101" ht="13.5" spans="1:4">
      <c r="A101" s="99"/>
      <c r="D101" s="8"/>
    </row>
    <row r="102" ht="13.5" spans="1:4">
      <c r="A102" s="99"/>
      <c r="D102" s="8"/>
    </row>
    <row r="103" ht="13.5" spans="1:4">
      <c r="A103" s="99"/>
      <c r="D103" s="8"/>
    </row>
    <row r="104" ht="13.5" spans="1:4">
      <c r="A104" s="99"/>
      <c r="D104" s="8"/>
    </row>
    <row r="105" ht="13.5" spans="1:4">
      <c r="A105" s="99"/>
      <c r="D105" s="8"/>
    </row>
    <row r="106" ht="13.5" spans="1:4">
      <c r="A106" s="99"/>
      <c r="D106" s="8"/>
    </row>
    <row r="107" ht="13.5" spans="1:4">
      <c r="A107" s="99"/>
      <c r="D107" s="8"/>
    </row>
    <row r="108" ht="13.5" spans="1:4">
      <c r="A108" s="99"/>
      <c r="D108" s="8"/>
    </row>
    <row r="109" ht="13.5" spans="1:4">
      <c r="A109" s="99"/>
      <c r="D109" s="8"/>
    </row>
    <row r="110" ht="13.5" spans="1:4">
      <c r="A110" s="99"/>
      <c r="D110" s="8"/>
    </row>
    <row r="111" ht="13.5" spans="1:4">
      <c r="A111" s="99"/>
      <c r="D111" s="8"/>
    </row>
    <row r="112" ht="13.5" spans="1:4">
      <c r="A112" s="99"/>
      <c r="D112" s="8"/>
    </row>
    <row r="113" ht="13.5" spans="1:4">
      <c r="A113" s="99"/>
      <c r="D113" s="8"/>
    </row>
    <row r="114" ht="13.5" spans="1:4">
      <c r="A114" s="99"/>
      <c r="D114" s="8"/>
    </row>
    <row r="115" ht="13.5" spans="1:4">
      <c r="A115" s="99"/>
      <c r="D115" s="8"/>
    </row>
    <row r="116" ht="13.5" spans="1:4">
      <c r="A116" s="99"/>
      <c r="D116" s="8"/>
    </row>
    <row r="117" ht="13.5" spans="1:4">
      <c r="A117" s="99"/>
      <c r="D117" s="8"/>
    </row>
    <row r="118" ht="13.5" spans="1:4">
      <c r="A118" s="99"/>
      <c r="D118" s="8"/>
    </row>
    <row r="119" ht="13.5" spans="1:4">
      <c r="A119" s="99"/>
      <c r="D119" s="8"/>
    </row>
    <row r="120" ht="13.5" spans="1:4">
      <c r="A120" s="99"/>
      <c r="D120" s="8"/>
    </row>
    <row r="121" ht="13.5" spans="1:4">
      <c r="A121" s="99"/>
      <c r="D121" s="8"/>
    </row>
    <row r="122" ht="13.5" spans="1:4">
      <c r="A122" s="99"/>
      <c r="D122" s="8"/>
    </row>
    <row r="123" ht="13.5" spans="1:4">
      <c r="A123" s="99"/>
      <c r="D123" s="8"/>
    </row>
    <row r="124" ht="13.5" spans="1:4">
      <c r="A124" s="99"/>
      <c r="D124" s="8"/>
    </row>
    <row r="125" ht="13.5" spans="1:4">
      <c r="A125" s="99"/>
      <c r="D125" s="8"/>
    </row>
    <row r="126" ht="13.5" spans="1:4">
      <c r="A126" s="99"/>
      <c r="D126" s="8"/>
    </row>
    <row r="127" ht="13.5" spans="1:4">
      <c r="A127" s="99"/>
      <c r="D127" s="8"/>
    </row>
    <row r="128" ht="13.5" spans="1:4">
      <c r="A128" s="99"/>
      <c r="D128" s="8"/>
    </row>
    <row r="129" ht="13.5" spans="1:4">
      <c r="A129" s="99"/>
      <c r="D129" s="8"/>
    </row>
    <row r="130" ht="13.5" spans="1:1">
      <c r="A130" s="99"/>
    </row>
    <row r="131" ht="13.5" spans="1:1">
      <c r="A131" s="99"/>
    </row>
    <row r="132" ht="13.5" spans="1:1">
      <c r="A132" s="99"/>
    </row>
    <row r="133" ht="13.5" spans="1:1">
      <c r="A133" s="99"/>
    </row>
    <row r="134" ht="13.5" spans="1:1">
      <c r="A134" s="99"/>
    </row>
    <row r="135" ht="13.5" spans="1:1">
      <c r="A135" s="99"/>
    </row>
    <row r="136" ht="13.5" spans="1:1">
      <c r="A136" s="99"/>
    </row>
    <row r="137" ht="13.5" spans="1:1">
      <c r="A137" s="99"/>
    </row>
  </sheetData>
  <mergeCells count="94"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A1:A3"/>
    <mergeCell ref="B1:B3"/>
    <mergeCell ref="C1:C3"/>
    <mergeCell ref="D1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黄宝</cp:lastModifiedBy>
  <dcterms:created xsi:type="dcterms:W3CDTF">2026-07-30T16:50:00Z</dcterms:created>
  <dcterms:modified xsi:type="dcterms:W3CDTF">2026-07-30T09:04:13Z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617EC9BB1D1B496FA2023199E53D2067</vt:lpwstr>
  </property>
  <property fmtid="{D5CDD505-2E9C-101B-9397-08002B2CF9AE}" pid="3" name="KSOProductBuildVer">
    <vt:lpwstr>2052-11.8.2.10972</vt:lpwstr>
  </property>
</Properties>
</file>